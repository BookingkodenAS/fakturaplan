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we4youas.sharepoint.com/sites/We4you/Delte dokumenter/Internt Sharepoint/We4you/Finans/Fakturering/Fakturering Sentralbord/Fakturering 2026/"/>
    </mc:Choice>
  </mc:AlternateContent>
  <xr:revisionPtr revIDLastSave="231" documentId="11_AC8469C6A53400199ADF1FB427F6B7EE6E41AC13" xr6:coauthVersionLast="47" xr6:coauthVersionMax="47" xr10:uidLastSave="{741BE911-8506-4C86-B962-94FD291AB8A0}"/>
  <bookViews>
    <workbookView xWindow="-51720" yWindow="7170" windowWidth="51840" windowHeight="21120" xr2:uid="{00000000-000D-0000-FFFF-FFFF00000000}"/>
  </bookViews>
  <sheets>
    <sheet name="Prisoversikt juni 2026" sheetId="1" r:id="rId1"/>
    <sheet name="Tabeller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3" i="1" l="1"/>
  <c r="I93" i="1"/>
  <c r="K93" i="1" s="1"/>
  <c r="K92" i="1"/>
  <c r="I92" i="1"/>
  <c r="I91" i="1"/>
  <c r="K91" i="1" s="1"/>
  <c r="K90" i="1"/>
  <c r="I89" i="1"/>
  <c r="K89" i="1" s="1"/>
  <c r="I88" i="1"/>
  <c r="K88" i="1" s="1"/>
  <c r="K87" i="1"/>
  <c r="I87" i="1"/>
  <c r="K86" i="1"/>
  <c r="I86" i="1"/>
  <c r="I85" i="1"/>
  <c r="K85" i="1" s="1"/>
  <c r="K84" i="1"/>
  <c r="I84" i="1"/>
  <c r="K81" i="1"/>
  <c r="K78" i="1"/>
  <c r="K77" i="1"/>
  <c r="I76" i="1"/>
  <c r="K76" i="1" s="1"/>
  <c r="K73" i="1"/>
  <c r="I73" i="1"/>
  <c r="K72" i="1"/>
  <c r="I72" i="1"/>
  <c r="I71" i="1"/>
  <c r="K71" i="1" s="1"/>
  <c r="I70" i="1"/>
  <c r="K70" i="1" s="1"/>
  <c r="K69" i="1"/>
  <c r="I69" i="1"/>
  <c r="K68" i="1"/>
  <c r="I67" i="1"/>
  <c r="K67" i="1" s="1"/>
  <c r="K66" i="1"/>
  <c r="I66" i="1"/>
  <c r="I63" i="1"/>
  <c r="K63" i="1" s="1"/>
  <c r="I62" i="1"/>
  <c r="K62" i="1" s="1"/>
  <c r="I61" i="1"/>
  <c r="K61" i="1" s="1"/>
  <c r="I60" i="1"/>
  <c r="K60" i="1" s="1"/>
  <c r="I59" i="1"/>
  <c r="K59" i="1" s="1"/>
  <c r="I58" i="1"/>
  <c r="K58" i="1" s="1"/>
  <c r="I57" i="1"/>
  <c r="K57" i="1" s="1"/>
  <c r="I56" i="1"/>
  <c r="K56" i="1" s="1"/>
  <c r="K55" i="1"/>
  <c r="I55" i="1"/>
  <c r="I54" i="1"/>
  <c r="K54" i="1" s="1"/>
  <c r="I51" i="1"/>
  <c r="K51" i="1" s="1"/>
  <c r="K50" i="1"/>
  <c r="I49" i="1"/>
  <c r="K49" i="1" s="1"/>
  <c r="I48" i="1"/>
  <c r="K48" i="1" s="1"/>
  <c r="K47" i="1"/>
  <c r="I47" i="1"/>
  <c r="I46" i="1"/>
  <c r="K46" i="1" s="1"/>
  <c r="K45" i="1"/>
  <c r="K44" i="1"/>
  <c r="I44" i="1"/>
  <c r="I43" i="1"/>
  <c r="K43" i="1" s="1"/>
  <c r="K42" i="1"/>
  <c r="I42" i="1"/>
  <c r="K41" i="1"/>
  <c r="I41" i="1"/>
  <c r="I40" i="1"/>
  <c r="K40" i="1" s="1"/>
  <c r="K39" i="1"/>
  <c r="I39" i="1"/>
  <c r="K38" i="1"/>
  <c r="I38" i="1"/>
  <c r="I37" i="1"/>
  <c r="K37" i="1" s="1"/>
  <c r="K36" i="1"/>
  <c r="I36" i="1"/>
  <c r="K35" i="1"/>
  <c r="I34" i="1"/>
  <c r="K34" i="1" s="1"/>
  <c r="K33" i="1"/>
  <c r="I32" i="1"/>
  <c r="K32" i="1" s="1"/>
  <c r="K31" i="1"/>
  <c r="I31" i="1"/>
  <c r="I28" i="1"/>
  <c r="K28" i="1" s="1"/>
  <c r="I27" i="1"/>
  <c r="K27" i="1" s="1"/>
  <c r="K26" i="1"/>
  <c r="I26" i="1"/>
  <c r="K25" i="1"/>
  <c r="K24" i="1"/>
  <c r="K23" i="1"/>
  <c r="I23" i="1"/>
  <c r="I22" i="1"/>
  <c r="K22" i="1" s="1"/>
  <c r="I21" i="1"/>
  <c r="K21" i="1" s="1"/>
  <c r="K20" i="1"/>
  <c r="I20" i="1"/>
  <c r="I19" i="1"/>
  <c r="K19" i="1" s="1"/>
  <c r="I18" i="1"/>
  <c r="K18" i="1" s="1"/>
  <c r="I17" i="1"/>
  <c r="K17" i="1" s="1"/>
  <c r="I16" i="1"/>
  <c r="K16" i="1" s="1"/>
  <c r="I15" i="1"/>
  <c r="K15" i="1" s="1"/>
  <c r="I14" i="1"/>
  <c r="K14" i="1" s="1"/>
  <c r="I13" i="1"/>
  <c r="K13" i="1" s="1"/>
  <c r="I12" i="1"/>
  <c r="K12" i="1" s="1"/>
  <c r="I11" i="1"/>
  <c r="K11" i="1" s="1"/>
  <c r="K10" i="1"/>
  <c r="K9" i="1"/>
  <c r="I9" i="1"/>
  <c r="K8" i="1"/>
  <c r="I8" i="1"/>
  <c r="I7" i="1"/>
  <c r="K7" i="1" s="1"/>
  <c r="K6" i="1"/>
  <c r="I6" i="1"/>
  <c r="K5" i="1"/>
  <c r="I5" i="1"/>
  <c r="I4" i="1"/>
  <c r="K4" i="1" s="1"/>
  <c r="J102" i="1" l="1"/>
  <c r="K103" i="1" s="1"/>
</calcChain>
</file>

<file path=xl/sharedStrings.xml><?xml version="1.0" encoding="utf-8"?>
<sst xmlns="http://schemas.openxmlformats.org/spreadsheetml/2006/main" count="604" uniqueCount="301">
  <si>
    <t>#</t>
  </si>
  <si>
    <t>Kunde</t>
  </si>
  <si>
    <t>Status</t>
  </si>
  <si>
    <t>Prismodell</t>
  </si>
  <si>
    <t>Pris 2026</t>
  </si>
  <si>
    <t>Inkludert</t>
  </si>
  <si>
    <t>Merknader / pristrapp</t>
  </si>
  <si>
    <t>Anrop (juli)</t>
  </si>
  <si>
    <t>Beregnet</t>
  </si>
  <si>
    <t>Avvik (J−I)</t>
  </si>
  <si>
    <t>kommentarer</t>
  </si>
  <si>
    <t>STANDARDTABELL 0-99  (inkl. fast pris-varianter)</t>
  </si>
  <si>
    <t>2Clean AS</t>
  </si>
  <si>
    <t>Aktiv</t>
  </si>
  <si>
    <t>Standardtabell 0-99</t>
  </si>
  <si>
    <t>kr 2 960 / mnd</t>
  </si>
  <si>
    <t>0–99 samtaler</t>
  </si>
  <si>
    <t>Ekstra engangsfaktura juni: kr 1 070 (e-postmigrering til Nordn) – ikke sentralbord</t>
  </si>
  <si>
    <t>ok</t>
  </si>
  <si>
    <t>Advokat Olga Halvorsen AS</t>
  </si>
  <si>
    <t>Advokat Sandra Latotinaite</t>
  </si>
  <si>
    <t>Akkodis – Data Respons</t>
  </si>
  <si>
    <t>Tidl. Datarespons</t>
  </si>
  <si>
    <t>Bodyfly Frogner AS</t>
  </si>
  <si>
    <t>Fast pris</t>
  </si>
  <si>
    <t>kr 1 600 / mnd inkl. 99 anrop</t>
  </si>
  <si>
    <t>0–99 anrop</t>
  </si>
  <si>
    <t>Fast pris 1 600 – IKKE standardtabell 2 960</t>
  </si>
  <si>
    <t>Calpro AS</t>
  </si>
  <si>
    <t>Coromatic AS</t>
  </si>
  <si>
    <t>Coromatic skal følgestandard tabell 0-99</t>
  </si>
  <si>
    <t>Dal Media (Digital Media Group AS)</t>
  </si>
  <si>
    <t>Standardtabell + faste tillegg</t>
  </si>
  <si>
    <t>Standardtabell (hoved-kø)Tell med samlet antall besvart samtaler for Dal media(Digital media group AS) + 3 selskaper på statistikken: TDC Caravan + Saltando + Victoria + + 3 × kr 199 tillegg</t>
  </si>
  <si>
    <t>Se anrop</t>
  </si>
  <si>
    <t>Fakturer samlet antall besvart samtaler for 3 selskaper på statistikken: TDC Caravan + Saltando + Victoria + (3×199kr). Tripletex-navn: Digital Media Group AS</t>
  </si>
  <si>
    <t>Element Logic AS</t>
  </si>
  <si>
    <t>Kvartalsvis (standardtabell)</t>
  </si>
  <si>
    <t>kr 8 880 / kvartal</t>
  </si>
  <si>
    <t>Kvartalsvis forskudd</t>
  </si>
  <si>
    <t>April–juni betalt april – neste faktura juli</t>
  </si>
  <si>
    <t>Element Logic Sweden AB</t>
  </si>
  <si>
    <t>Q3-forskudd betalt juni</t>
  </si>
  <si>
    <t>First Mover Group Norge AS / Relokator</t>
  </si>
  <si>
    <t>Standardtabell 0-99 + tillegg</t>
  </si>
  <si>
    <t>kr 2 960 / mnd + tillegg</t>
  </si>
  <si>
    <t>Foma Norge AS</t>
  </si>
  <si>
    <t>Standardtabell + grunnpris</t>
  </si>
  <si>
    <t>Standardtabell + kr 199 grunnpris / mnd</t>
  </si>
  <si>
    <t>0–99+ samtaler</t>
  </si>
  <si>
    <t>Gass og Pusteservice AS</t>
  </si>
  <si>
    <t>Standardtabell + utvidet åpningstid</t>
  </si>
  <si>
    <t>kr 2 960 / mnd + kr 360 utvidet åpningstid</t>
  </si>
  <si>
    <t>Tillegg utvidet åpningstid: kr 360/mnd</t>
  </si>
  <si>
    <t>Kardex Norge AS</t>
  </si>
  <si>
    <t>KTV Group AS</t>
  </si>
  <si>
    <t>Standardtabell 0-99 (10 % rabatt)</t>
  </si>
  <si>
    <t>kr 2 664 / mnd (2 960 med 10 % rabatt)</t>
  </si>
  <si>
    <t>Fast 10 % rabatt på standardtabell</t>
  </si>
  <si>
    <t>NOAH AS</t>
  </si>
  <si>
    <t>Norenco Norge AS</t>
  </si>
  <si>
    <t>Standardtabell + tillegg linje</t>
  </si>
  <si>
    <t>Standardtabell + kr 199 tillegg</t>
  </si>
  <si>
    <t>Senter for stress og Traumepsykologi AS</t>
  </si>
  <si>
    <t>Spraying Systems Sverige AB</t>
  </si>
  <si>
    <t>Standard Norge AS</t>
  </si>
  <si>
    <t>TD Synnex Norway AS</t>
  </si>
  <si>
    <t>Teva AS (Teva-Actavis)</t>
  </si>
  <si>
    <t>Standardtabell + kr 199 grunnpris</t>
  </si>
  <si>
    <t>Ultralydklinikken AS</t>
  </si>
  <si>
    <t>Veidekke Industri AS – Møre</t>
  </si>
  <si>
    <t>Kø 3792 · Kunde nr 32722</t>
  </si>
  <si>
    <t>Veidekke Industri AS – Sogn(60309)</t>
  </si>
  <si>
    <t>Kø 4509 · Oppstart mars 2026. Kunde 33197</t>
  </si>
  <si>
    <t>OK</t>
  </si>
  <si>
    <t>FAST PRIS + STYKKPRIS  (individuelle avtaler)</t>
  </si>
  <si>
    <t>Advokat Henjum AS</t>
  </si>
  <si>
    <t>Fast pris + stykkpris</t>
  </si>
  <si>
    <t>kr 920 / mnd inkl. 20 anrop + kr 46 / anrop over 20</t>
  </si>
  <si>
    <t>0–20 anrop</t>
  </si>
  <si>
    <t>Feilaktig markert sagt opp – aktiv per juni 2026</t>
  </si>
  <si>
    <t>Compass Group Norge AS (Veidekke-hovednummer)</t>
  </si>
  <si>
    <t>Fast pris + stykkpris + e-post</t>
  </si>
  <si>
    <t xml:space="preserve">kr 17 000 / mnd inkl. 800 anrop + kr 26 / over 800 </t>
  </si>
  <si>
    <t>0–800 anrop</t>
  </si>
  <si>
    <t>Kø 3082 · Juni: 475 anrop + 1 776 e-poster × kr 10 = kr 17 760. Bekreftet av Geir</t>
  </si>
  <si>
    <t>Veidekke – e-posthåndtering</t>
  </si>
  <si>
    <t>Stykkpris</t>
  </si>
  <si>
    <t>kr 10 / e-post (telles manuelt)</t>
  </si>
  <si>
    <t>Per videresendelse</t>
  </si>
  <si>
    <t>Tillegg i Compass Group-fakturaen – faktureres separat for å håndtere e-postene</t>
  </si>
  <si>
    <t>Frano AS</t>
  </si>
  <si>
    <t>kr 195 fast / mnd + kr 29 / anrop</t>
  </si>
  <si>
    <t>Ingen inkludert</t>
  </si>
  <si>
    <t>Funksjonell Medisinsk Klinikk AS</t>
  </si>
  <si>
    <t>kr 840 / mnd inkl. 20 anrop + kr 42 / anrop over 20 (betaler alltid grunnpris)</t>
  </si>
  <si>
    <t>13 anrop i juni · Betaler alltid 840 grunnpris uansett volum</t>
  </si>
  <si>
    <t>Fysiodirekte AS</t>
  </si>
  <si>
    <t>kr 805 / mnd inkl. 20 anrop + kr 40 / anrop over 20 (betaler alltid grunnpris)</t>
  </si>
  <si>
    <t>Betaler grunnpris selv uten anrop</t>
  </si>
  <si>
    <t>Gulvfag Norge AS</t>
  </si>
  <si>
    <t>Fast pris + stykkpris + tillegg</t>
  </si>
  <si>
    <t>kr 700 / mnd inkl. 20 + kr 36 / over 20 + 3 × kr 139 tilknytning</t>
  </si>
  <si>
    <t>3 tillegg: Nye Gulv Norge (1 anrop) + Adler Parkettsliperi (17) + Hytteguttene · Totalt 46 anrop, 26 over 20</t>
  </si>
  <si>
    <t>Gunvaldsen og sønn AS</t>
  </si>
  <si>
    <t>kr 1 180 / mnd inkl. 40 anrop + kr 27 / anrop over 40</t>
  </si>
  <si>
    <t>0–40 anrop</t>
  </si>
  <si>
    <t>IKT Nor AS</t>
  </si>
  <si>
    <t>kr 860 / mnd inkl. 20 anrop + kr 42 / anrop over 20</t>
  </si>
  <si>
    <t>Invicta AS</t>
  </si>
  <si>
    <t>kr 2 900 / mnd base + kr 18 / anrop over 200</t>
  </si>
  <si>
    <t>0–200 anrop</t>
  </si>
  <si>
    <t>JCDecaux Norge AS</t>
  </si>
  <si>
    <t>kr 2 000 / mnd inkl. 20 anrop + kr 40 / anrop over 20 (ny pris juni 2026)</t>
  </si>
  <si>
    <t>Ny pris fra juni 2026 (tidl. kr 4 480)</t>
  </si>
  <si>
    <t>Kontroll Elektro AS</t>
  </si>
  <si>
    <t>Meavia AS / Bekkestua Psykologen</t>
  </si>
  <si>
    <t>kr 199 fast / mnd + kr 42 / anrop</t>
  </si>
  <si>
    <t>PC Vennen AS</t>
  </si>
  <si>
    <t>Fast grunnpris</t>
  </si>
  <si>
    <t>kr 3 010 / mnd inkl. 149 anrop</t>
  </si>
  <si>
    <t>0–149 anrop</t>
  </si>
  <si>
    <t>Kontakt: Harald Brevig</t>
  </si>
  <si>
    <t>Philips Norge AS</t>
  </si>
  <si>
    <t>kr 8 110 / mnd + kr 18 / anrop over 499</t>
  </si>
  <si>
    <t>0–499 anrop</t>
  </si>
  <si>
    <t>Positiv Trafikkskole AS</t>
  </si>
  <si>
    <t>kr 515 / mnd + kr 42 / anrop</t>
  </si>
  <si>
    <t>Prevas AS</t>
  </si>
  <si>
    <t>kr 199 fast / mnd + kr 46 / anrop</t>
  </si>
  <si>
    <t>Safari Planter AS</t>
  </si>
  <si>
    <t>kr 199 grunnpris / mnd + kr 46 / anrop</t>
  </si>
  <si>
    <t>Tropisk Design AS</t>
  </si>
  <si>
    <t>kr 880 / mnd inkl. 20 anrop + kr 45 / anrop over 20</t>
  </si>
  <si>
    <t>Vika Fysikalske Institutt AS</t>
  </si>
  <si>
    <t>Fast pris + volumtabell</t>
  </si>
  <si>
    <t>kr 199 fast + kr 790 rapporter + volumtabell (31–40: 1 640)</t>
  </si>
  <si>
    <t>Volumtabell</t>
  </si>
  <si>
    <t>Zones AS</t>
  </si>
  <si>
    <t>kr 820 / mnd inkl. 20 anrop + kr 42 / anrop over 20</t>
  </si>
  <si>
    <t>Back-up løsning</t>
  </si>
  <si>
    <t>CEG-TABELL  (20-trinns trappetabell – NEMUS delt per klinikk)</t>
  </si>
  <si>
    <t>CEG Norway AS</t>
  </si>
  <si>
    <t>CEG-tabell</t>
  </si>
  <si>
    <t>kr 1 500 / mnd (0–69) og oppover</t>
  </si>
  <si>
    <t>0–69 samtaler</t>
  </si>
  <si>
    <t>Dental Sør AS</t>
  </si>
  <si>
    <t>CEG 20-trinns tabell</t>
  </si>
  <si>
    <t>Klinikk Øre-nese-hals AS</t>
  </si>
  <si>
    <t>NEMUS – Horten Helseklinikk AS</t>
  </si>
  <si>
    <t>CEG-tabell + fastpris tillegg</t>
  </si>
  <si>
    <t>kr 115 fast + kr 199 tillegg + CEG-tabell (116 anrop → 3 145)</t>
  </si>
  <si>
    <t>Per anrop</t>
  </si>
  <si>
    <t>116 anrop i juni → CEG-tier · Totalt kr 3 459 ekskl.</t>
  </si>
  <si>
    <t>NEMUS – Larvik AS</t>
  </si>
  <si>
    <t>kr 115 fast + kr 199 tillegg + CEG-tabell (0 anrop → 0)</t>
  </si>
  <si>
    <t>0 anrop i juni → kun fastpris + tillegg = kr 1 699 ekskl.</t>
  </si>
  <si>
    <t>NEMUS – Nøtterøy Helseklinikk AS</t>
  </si>
  <si>
    <t>kr 1 500 fast + kr 199 tillegg + CEG-tabell (81 anrop)</t>
  </si>
  <si>
    <t>81 anrop i juni · Totalt kr 2 479 ekskl.</t>
  </si>
  <si>
    <t>NEMUS – Sandefjord Kiropraktikk AS</t>
  </si>
  <si>
    <t>kr 1 500 fast + kr 199 tillegg + CEG-tabell (85 anrop)</t>
  </si>
  <si>
    <t>85 anrop i juni · Totalt kr 2 479 ekskl.</t>
  </si>
  <si>
    <t>NEMUS – Tønsberg Helseklinikk AS</t>
  </si>
  <si>
    <t>kr 1 500 fast + kr 199 tillegg + CEG-tabell (70 anrop)</t>
  </si>
  <si>
    <t>70 anrop i juni · Totalt kr 2 479 ekskl.</t>
  </si>
  <si>
    <t>Per Tverfjell Bilomsetning AS</t>
  </si>
  <si>
    <t>OBS: Claude beregnet 3 260 (CEG 110-129, 120 anrop). Tripletex fakturerte 2 870. Avvik kr 390 – bekreftet av Geir at Claude har rett</t>
  </si>
  <si>
    <t>Vera Tank AS</t>
  </si>
  <si>
    <t>EGNE TABELLER  (individuelle volumtrapper og spesialavtaler)</t>
  </si>
  <si>
    <t>Ahlberg data (PC Vennen AS)</t>
  </si>
  <si>
    <t>Eigen tabell</t>
  </si>
  <si>
    <t>kr 3 490 / mnd + kr 32 / anrop over 99</t>
  </si>
  <si>
    <t>Kunde nr 32942</t>
  </si>
  <si>
    <t>Allskog SA</t>
  </si>
  <si>
    <t>Fast pris (ny 2026)</t>
  </si>
  <si>
    <t>kr 15 000 / mnd</t>
  </si>
  <si>
    <t>Ubegrenset + statistikk</t>
  </si>
  <si>
    <t>Ny fast pris fra mars 2026</t>
  </si>
  <si>
    <t>Caverion Norge AS</t>
  </si>
  <si>
    <t>Indeksregulert tabell</t>
  </si>
  <si>
    <t>250-299: kr 5 315 / 300-349: kr 6 275 (2026)</t>
  </si>
  <si>
    <t>Se pristabell</t>
  </si>
  <si>
    <t>Nasjonal rammeavtale</t>
  </si>
  <si>
    <t>EFAS (Eurofusion AS)</t>
  </si>
  <si>
    <t>Eigen tabell + fast abo</t>
  </si>
  <si>
    <t>kr 199 fast / mnd + volumtabell (0-30: kr 1 330)</t>
  </si>
  <si>
    <t>ENRX AS</t>
  </si>
  <si>
    <t>Volumtrapp: 0-99: kr 2 580 / 100-149: kr 3 100</t>
  </si>
  <si>
    <t>Se kundeark</t>
  </si>
  <si>
    <t>Promon AS</t>
  </si>
  <si>
    <t>Volumtrapp: 0-99: kr 7 410 / 100-149: kr 10 550</t>
  </si>
  <si>
    <t>Rambøll Norge AS</t>
  </si>
  <si>
    <t>Eigen tabell (uten rapport)</t>
  </si>
  <si>
    <t>kr 4 640 base + kr 42 / anrop over 299</t>
  </si>
  <si>
    <t>Rapport (kr 1 495) er sagt opp. Beregning: 4 640 + 56×42 = 6 992. Bekreftet av Geir</t>
  </si>
  <si>
    <t>Safenordic AS OBS! Faktureres fra Touchcom AS fra og med august 2026</t>
  </si>
  <si>
    <t>Flat pris</t>
  </si>
  <si>
    <t>kr 1 125 / mnd inkl. 30 anrop (rollover 3 mnd)</t>
  </si>
  <si>
    <t>0–30 anrop</t>
  </si>
  <si>
    <t>Safenordic 1 + Touchcom 10</t>
  </si>
  <si>
    <t>KVARTALSFAKTURERING</t>
  </si>
  <si>
    <t>Enova Trondheim (Compass)</t>
  </si>
  <si>
    <t>Kvartalsvis (forskudd)</t>
  </si>
  <si>
    <t>kr 5 140 / kvartal + kr 36 / anrop over 200</t>
  </si>
  <si>
    <t>Kvartalsvis</t>
  </si>
  <si>
    <t>Kvartalsfakturering: kr 5 140 forskudd (jan/apr/jul/okt, faktura siste dag i måneden). Kr 36 per anrop over 200 per kvartal. H-kolonnen = kvartalets samlede anropstall (apr 39 + mai 56 + jun 75 = 170). Neste faktura juli 2026.</t>
  </si>
  <si>
    <t>Norsk Medisinsk Syklotronsenter</t>
  </si>
  <si>
    <t>Kvartalsvis (etterskudd)</t>
  </si>
  <si>
    <t>kr 2 870 / kvartal (0-99)</t>
  </si>
  <si>
    <t>Kvartalstall</t>
  </si>
  <si>
    <t xml:space="preserve">Ble fakturert i juni </t>
  </si>
  <si>
    <t>NYD – Norsk Yrkesdykkerskole</t>
  </si>
  <si>
    <t>kr 10 230 / kvartal (forskudd)</t>
  </si>
  <si>
    <t>Kvartalsfakturering: kr 10 230 forskudd, faktura 20'de (feb/mai/aug/nov). Neste faktura august 2026.</t>
  </si>
  <si>
    <t>ÅRSABONNEMENT</t>
  </si>
  <si>
    <t>Feste Trafikkskole AS</t>
  </si>
  <si>
    <t>Årsabonnement</t>
  </si>
  <si>
    <t>kr 2 580 / år + kr 380/dag (daglig) eller kr 1 490/uke (ferie/ukentlig)</t>
  </si>
  <si>
    <t>Årsvis</t>
  </si>
  <si>
    <t>Årsavgift kr 2 580 faktureres september (forskudd). VED BRUK (når anrop vises i Zisson): kr 380 per dag ved daglig bruk eller kr 1 490 per uke ved ukentlig/ferieavvikling. Beregn I-kolonnen manuelt ved bruk.</t>
  </si>
  <si>
    <t>NYE KUNDER – PRISMODELLER HENTET FRA TRIPLETEX</t>
  </si>
  <si>
    <t>Dekkteam Ringdekk AS</t>
  </si>
  <si>
    <t>kr 1 131 fast / mnd + kr 30 / anrop</t>
  </si>
  <si>
    <t>Fit4 AS (Helselaben)</t>
  </si>
  <si>
    <t>kr 3 292 / mnd inkl. 100 anrop + kr 28 / over 100 + e-post behandling kr 1548,-(separat på fakturaen)</t>
  </si>
  <si>
    <t>0–100 anrop</t>
  </si>
  <si>
    <t>Fakturert 4840,- Fit4 skal betale kr 1548 i tillegg for e-postbehandling</t>
  </si>
  <si>
    <t>HR Companies AS</t>
  </si>
  <si>
    <t>kr 873 fast / mnd + kr 30 / anrop</t>
  </si>
  <si>
    <t>Krøderen Elektro AS</t>
  </si>
  <si>
    <t>Fast pris + per ansatt + stykkpris</t>
  </si>
  <si>
    <t>kr 566 fast + kr 114 /ansatt (21 stk)  + kr 30 / anrop</t>
  </si>
  <si>
    <t>Per ansatt + anrop</t>
  </si>
  <si>
    <t>Menova AS</t>
  </si>
  <si>
    <t>kr 566 fast + kr 56 / ansatt (25 stk) + kr 28 / anrop</t>
  </si>
  <si>
    <t>Print Supplies AS</t>
  </si>
  <si>
    <t>kr 660 fast / mnd + kr 30 / anrop</t>
  </si>
  <si>
    <t>Ringerike Elektro AS</t>
  </si>
  <si>
    <t>kr 764 fast / mnd inkl. 20 anrop + kr 30 / anrop over 20</t>
  </si>
  <si>
    <t>0–20 anrop inkl.</t>
  </si>
  <si>
    <t>Trafikkskolen Driver AS</t>
  </si>
  <si>
    <t>Fast pris (pakke)</t>
  </si>
  <si>
    <t>kr 6 129 / mnd inkl. 149 anrop + kr 23 / over 149 (inkl. e-post og utgående)</t>
  </si>
  <si>
    <t>Willis Towers Watson AS</t>
  </si>
  <si>
    <t>kr 640 fast + kr 118 / ansatt (12 stk) + kr 30 / anrop</t>
  </si>
  <si>
    <t>Ower Trafikkskole</t>
  </si>
  <si>
    <t xml:space="preserve">Aktiv </t>
  </si>
  <si>
    <t xml:space="preserve">Fast pris </t>
  </si>
  <si>
    <t>Pris pr måned: kr 2 950,- 
inntil 30 besvarte samtaler
Pris per besvart samtale utover 30: kr 60,-</t>
  </si>
  <si>
    <t>Proevemaaned</t>
  </si>
  <si>
    <t>Pris pr måned: kr 2 950,- inkluderer telefonkanal, tilgjengelighet til våre
kundeservicebetjenter og inntil 30 besvarte samtaler
Oppdatert prisplan videre etter prøvemåneden.Pris per besvart samtale utover 30: kr 60,-</t>
  </si>
  <si>
    <t>OBS! endret prisplan</t>
  </si>
  <si>
    <t>SAGT OPP</t>
  </si>
  <si>
    <t>ABC Hus</t>
  </si>
  <si>
    <t>Sagt opp</t>
  </si>
  <si>
    <t>–</t>
  </si>
  <si>
    <t>Siste faktura mars 2026</t>
  </si>
  <si>
    <t>Sjekk!</t>
  </si>
  <si>
    <t>Alivia Insurance AB</t>
  </si>
  <si>
    <t>Domingo</t>
  </si>
  <si>
    <t>Funkweb Kompetanse</t>
  </si>
  <si>
    <t>IKM Karsten Moholt AS</t>
  </si>
  <si>
    <t>Siste faktura juni 2025</t>
  </si>
  <si>
    <t>BEREGNET TOTAL juli 2026 (ekskl. mva)</t>
  </si>
  <si>
    <t>FAKTISK TOTAL Tripletex juli 2026 (ekskl. mva)</t>
  </si>
  <si>
    <t>STD_Fra</t>
  </si>
  <si>
    <t>STD_Pris</t>
  </si>
  <si>
    <t>CEG_Fra</t>
  </si>
  <si>
    <t>CEG_Pris</t>
  </si>
  <si>
    <t>CORO_Fra</t>
  </si>
  <si>
    <t>CORO_Pris</t>
  </si>
  <si>
    <t>EFAS_Fra</t>
  </si>
  <si>
    <t>EFAS_Pris</t>
  </si>
  <si>
    <t>ENRX_Fra</t>
  </si>
  <si>
    <t>ENRX_Pris</t>
  </si>
  <si>
    <t>PROMON_Fra</t>
  </si>
  <si>
    <t>PROMON_Pris</t>
  </si>
  <si>
    <t>We4you AS – Prisoversikt Sentralbord 2026  |  Augusr2026  |  Beregnet vs Faktisk (Tripletex)</t>
  </si>
  <si>
    <t>Totalt 394 anrop ( tilbakeanrop er på 36)</t>
  </si>
  <si>
    <t>Faktisk august(Tripletex ekskl.)</t>
  </si>
  <si>
    <t>Lå kr 1103, endret til 1229</t>
  </si>
  <si>
    <t>Lå kr 245,- endret til 705,-</t>
  </si>
  <si>
    <t>Lå kr. 2820, endret tl 1440,-</t>
  </si>
  <si>
    <t>Endret pris fra 4640,- til 6236</t>
  </si>
  <si>
    <t>Endret fra kr 4399,- til 5019,-</t>
  </si>
  <si>
    <t>endret fra 2541,- til 1761,-</t>
  </si>
  <si>
    <t>Endret til kr 1664,-</t>
  </si>
  <si>
    <t>endret fra 291,- til 383,-</t>
  </si>
  <si>
    <t>Endret fra 7427 til 5267</t>
  </si>
  <si>
    <t>endret fra 3580 til 4090,-</t>
  </si>
  <si>
    <t>endret fra 3580 til 3159</t>
  </si>
  <si>
    <t>endret fra 880 til 925</t>
  </si>
  <si>
    <t>endret fra 3810 til 3260</t>
  </si>
  <si>
    <t>endret fra 1500,- til 2870,-</t>
  </si>
  <si>
    <t>endret fra 2629 til 3589</t>
  </si>
  <si>
    <t>endret fra 3886 til 4576</t>
  </si>
  <si>
    <t>1662 eposter a kr 10,-</t>
  </si>
  <si>
    <t>endret fra 2960 til 3580</t>
  </si>
  <si>
    <t>endret fra 805 til 1050</t>
  </si>
  <si>
    <t>endret fra 1500 til 2280,-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</si>
</sst>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#,##0;\-#,##0;0"/>
  </numFmts>
  <fonts count="29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11"/>
      <color rgb="FFFFFFFF"/>
      <name val="Calibri"/>
      <charset val="1"/>
    </font>
    <font>
      <b/>
      <sz val="10"/>
      <color rgb="FF595959"/>
      <name val="Calibri"/>
      <charset val="1"/>
    </font>
    <font>
      <b/>
      <sz val="10"/>
      <color rgb="FF000000"/>
      <name val="Calibri"/>
      <charset val="1"/>
    </font>
    <font>
      <b/>
      <sz val="10"/>
      <color rgb="FF375623"/>
      <name val="Calibri"/>
      <charset val="1"/>
    </font>
    <font>
      <sz val="10"/>
      <color rgb="FF000000"/>
      <name val="Calibri"/>
      <charset val="1"/>
    </font>
    <font>
      <i/>
      <sz val="10"/>
      <color rgb="FF595959"/>
      <name val="Calibri"/>
      <charset val="1"/>
    </font>
    <font>
      <b/>
      <sz val="10"/>
      <color rgb="FF1F4E79"/>
      <name val="Calibri"/>
      <charset val="1"/>
    </font>
    <font>
      <sz val="10"/>
      <color rgb="FF000000"/>
      <name val="Calibri"/>
      <family val="2"/>
      <charset val="1"/>
    </font>
    <font>
      <i/>
      <sz val="10"/>
      <color rgb="FF595959"/>
      <name val="Calibri"/>
      <family val="2"/>
      <charset val="1"/>
    </font>
    <font>
      <sz val="10"/>
      <color rgb="FFBFBFBF"/>
      <name val="Calibri"/>
      <charset val="1"/>
    </font>
    <font>
      <b/>
      <sz val="10"/>
      <color rgb="FF1F4E79"/>
      <name val="Calibri"/>
      <family val="2"/>
      <charset val="1"/>
    </font>
    <font>
      <sz val="10"/>
      <color rgb="FFFF0000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0"/>
      <name val="Calibri"/>
      <family val="2"/>
      <charset val="1"/>
    </font>
    <font>
      <b/>
      <i/>
      <sz val="10"/>
      <color rgb="FF000000"/>
      <name val="Calibri"/>
      <charset val="1"/>
    </font>
    <font>
      <b/>
      <i/>
      <sz val="10"/>
      <color rgb="FF000000"/>
      <name val="Calibri"/>
      <family val="2"/>
      <charset val="1"/>
    </font>
    <font>
      <b/>
      <sz val="10"/>
      <color rgb="FFBFBFBF"/>
      <name val="Calibri"/>
      <family val="2"/>
      <charset val="1"/>
    </font>
    <font>
      <sz val="10"/>
      <color rgb="FF595959"/>
      <name val="Calibri"/>
      <charset val="1"/>
    </font>
    <font>
      <b/>
      <sz val="10"/>
      <color rgb="FF833C00"/>
      <name val="Calibri"/>
      <charset val="1"/>
    </font>
    <font>
      <b/>
      <sz val="11"/>
      <name val="Cambria"/>
      <charset val="1"/>
    </font>
    <font>
      <i/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375623"/>
      <name val="Calibri"/>
      <family val="2"/>
    </font>
    <font>
      <sz val="11"/>
      <color rgb="FFFF0000"/>
      <name val="Calibri"/>
      <family val="2"/>
      <charset val="1"/>
    </font>
    <font>
      <b/>
      <sz val="10"/>
      <color rgb="FFFF0000"/>
      <name val="Calibri"/>
      <family val="2"/>
    </font>
    <font>
      <b/>
      <i/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2EFDA"/>
      </patternFill>
    </fill>
    <fill>
      <patternFill patternType="solid">
        <fgColor rgb="FFEBF3FB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F2DCDB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/>
    </xf>
    <xf numFmtId="3" fontId="5" fillId="4" borderId="1" xfId="0" applyNumberFormat="1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right" vertical="center" wrapText="1"/>
    </xf>
    <xf numFmtId="3" fontId="9" fillId="4" borderId="1" xfId="0" applyNumberFormat="1" applyFont="1" applyFill="1" applyBorder="1" applyAlignment="1">
      <alignment horizontal="right" vertical="center" wrapText="1"/>
    </xf>
    <xf numFmtId="164" fontId="6" fillId="4" borderId="1" xfId="0" applyNumberFormat="1" applyFont="1" applyFill="1" applyBorder="1" applyAlignment="1">
      <alignment horizontal="righ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 wrapText="1"/>
    </xf>
    <xf numFmtId="3" fontId="5" fillId="5" borderId="1" xfId="0" applyNumberFormat="1" applyFont="1" applyFill="1" applyBorder="1" applyAlignment="1">
      <alignment horizontal="center" vertical="center" wrapText="1"/>
    </xf>
    <xf numFmtId="3" fontId="7" fillId="5" borderId="1" xfId="0" applyNumberFormat="1" applyFont="1" applyFill="1" applyBorder="1" applyAlignment="1">
      <alignment horizontal="right" vertical="center" wrapText="1"/>
    </xf>
    <xf numFmtId="3" fontId="9" fillId="5" borderId="1" xfId="0" applyNumberFormat="1" applyFont="1" applyFill="1" applyBorder="1" applyAlignment="1">
      <alignment horizontal="right" vertical="center" wrapText="1"/>
    </xf>
    <xf numFmtId="164" fontId="6" fillId="5" borderId="1" xfId="0" applyNumberFormat="1" applyFont="1" applyFill="1" applyBorder="1" applyAlignment="1">
      <alignment horizontal="righ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right" vertical="center" wrapText="1"/>
    </xf>
    <xf numFmtId="3" fontId="13" fillId="4" borderId="1" xfId="0" applyNumberFormat="1" applyFont="1" applyFill="1" applyBorder="1" applyAlignment="1">
      <alignment horizontal="right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164" fontId="16" fillId="5" borderId="1" xfId="0" applyNumberFormat="1" applyFont="1" applyFill="1" applyBorder="1" applyAlignment="1">
      <alignment horizontal="right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3" fontId="5" fillId="6" borderId="1" xfId="0" applyNumberFormat="1" applyFont="1" applyFill="1" applyBorder="1" applyAlignment="1">
      <alignment horizontal="center" vertical="center" wrapText="1"/>
    </xf>
    <xf numFmtId="3" fontId="7" fillId="6" borderId="1" xfId="0" applyNumberFormat="1" applyFont="1" applyFill="1" applyBorder="1" applyAlignment="1">
      <alignment horizontal="right" vertical="center" wrapText="1"/>
    </xf>
    <xf numFmtId="3" fontId="9" fillId="6" borderId="1" xfId="0" applyNumberFormat="1" applyFont="1" applyFill="1" applyBorder="1" applyAlignment="1">
      <alignment horizontal="right" vertical="center" wrapText="1"/>
    </xf>
    <xf numFmtId="164" fontId="6" fillId="6" borderId="1" xfId="0" applyNumberFormat="1" applyFont="1" applyFill="1" applyBorder="1" applyAlignment="1">
      <alignment horizontal="right" vertical="center" wrapText="1"/>
    </xf>
    <xf numFmtId="0" fontId="18" fillId="6" borderId="1" xfId="0" applyFont="1" applyFill="1" applyBorder="1" applyAlignment="1">
      <alignment horizontal="left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left" vertical="center" wrapText="1"/>
    </xf>
    <xf numFmtId="0" fontId="21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right" vertical="center" wrapText="1"/>
    </xf>
    <xf numFmtId="3" fontId="0" fillId="0" borderId="0" xfId="0" applyNumberFormat="1"/>
    <xf numFmtId="164" fontId="22" fillId="0" borderId="0" xfId="0" applyNumberFormat="1" applyFont="1"/>
    <xf numFmtId="0" fontId="23" fillId="6" borderId="1" xfId="0" applyFont="1" applyFill="1" applyBorder="1" applyAlignment="1">
      <alignment horizontal="left" vertical="center" wrapText="1"/>
    </xf>
    <xf numFmtId="0" fontId="24" fillId="6" borderId="1" xfId="0" applyFont="1" applyFill="1" applyBorder="1" applyAlignment="1">
      <alignment horizontal="left" vertical="center" wrapText="1"/>
    </xf>
    <xf numFmtId="0" fontId="25" fillId="6" borderId="1" xfId="0" applyFont="1" applyFill="1" applyBorder="1" applyAlignment="1">
      <alignment horizontal="center" vertical="center" wrapText="1"/>
    </xf>
    <xf numFmtId="0" fontId="26" fillId="0" borderId="0" xfId="0" applyFont="1"/>
    <xf numFmtId="0" fontId="27" fillId="5" borderId="1" xfId="0" applyFont="1" applyFill="1" applyBorder="1" applyAlignment="1">
      <alignment horizontal="left" vertical="center" wrapText="1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8" borderId="0" xfId="0" applyFill="1"/>
    <xf numFmtId="0" fontId="28" fillId="6" borderId="1" xfId="0" applyFont="1" applyFill="1" applyBorder="1" applyAlignment="1">
      <alignment horizontal="left" vertical="center" wrapText="1"/>
    </xf>
    <xf numFmtId="0" fontId="0" fillId="8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0" fillId="8" borderId="0" xfId="0" applyFill="1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center" vertical="center"/>
    </xf>
    <xf numFmtId="0" fontId="0" fillId="0" borderId="0" xfId="0"/>
    <xf numFmtId="0" fontId="0" fillId="0" borderId="0" xfId="0" applyAlignment="1">
      <alignment vertical="center"/>
    </xf>
    <xf numFmtId="0" fontId="3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2DCDB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33C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abSelected="1" zoomScaleNormal="100" workbookViewId="0">
      <pane xSplit="1" ySplit="2" topLeftCell="B57" activePane="bottomRight" state="frozen"/>
      <selection pane="topRight" activeCell="B1" sqref="B1"/>
      <selection pane="bottomLeft" activeCell="A3" sqref="A3"/>
      <selection pane="bottomRight" activeCell="H34" sqref="H34"/>
    </sheetView>
  </sheetViews>
  <sheetFormatPr baseColWidth="10" defaultColWidth="9" defaultRowHeight="14.25" x14ac:dyDescent="0.45"/>
  <cols>
    <col min="1" max="1" width="5" customWidth="1"/>
    <col min="2" max="2" width="28" customWidth="1"/>
    <col min="3" max="3" width="10" customWidth="1"/>
    <col min="4" max="4" width="22" customWidth="1"/>
    <col min="5" max="5" width="33" customWidth="1"/>
    <col min="6" max="6" width="18" customWidth="1"/>
    <col min="7" max="7" width="36" customWidth="1"/>
    <col min="8" max="8" width="10" customWidth="1"/>
    <col min="9" max="9" width="14" customWidth="1"/>
    <col min="10" max="10" width="20" customWidth="1"/>
    <col min="11" max="11" width="14" customWidth="1"/>
    <col min="12" max="12" width="9" style="1" customWidth="1"/>
  </cols>
  <sheetData>
    <row r="1" spans="1:19" ht="27.75" customHeight="1" x14ac:dyDescent="0.45">
      <c r="A1" s="77" t="s">
        <v>278</v>
      </c>
      <c r="B1" s="69"/>
      <c r="C1" s="69"/>
      <c r="D1" s="69"/>
      <c r="E1" s="69"/>
      <c r="F1" s="69"/>
      <c r="G1" s="69"/>
      <c r="H1" s="69"/>
      <c r="I1" s="69"/>
      <c r="J1" s="69"/>
      <c r="K1" s="70"/>
    </row>
    <row r="2" spans="1:19" ht="21.75" customHeight="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280</v>
      </c>
      <c r="K2" s="2" t="s">
        <v>9</v>
      </c>
      <c r="M2" t="s">
        <v>10</v>
      </c>
    </row>
    <row r="3" spans="1:19" ht="18" customHeight="1" x14ac:dyDescent="0.45">
      <c r="A3" s="76" t="s">
        <v>11</v>
      </c>
      <c r="B3" s="69"/>
      <c r="C3" s="69"/>
      <c r="D3" s="69"/>
      <c r="E3" s="69"/>
      <c r="F3" s="69"/>
      <c r="G3" s="69"/>
      <c r="H3" s="69"/>
      <c r="I3" s="69"/>
      <c r="J3" s="69"/>
      <c r="K3" s="70"/>
    </row>
    <row r="4" spans="1:19" ht="30" customHeight="1" x14ac:dyDescent="0.45">
      <c r="A4" s="3">
        <v>1</v>
      </c>
      <c r="B4" s="4" t="s">
        <v>12</v>
      </c>
      <c r="C4" s="5" t="s">
        <v>13</v>
      </c>
      <c r="D4" s="6" t="s">
        <v>14</v>
      </c>
      <c r="E4" s="6" t="s">
        <v>15</v>
      </c>
      <c r="F4" s="7" t="s">
        <v>16</v>
      </c>
      <c r="G4" s="8" t="s">
        <v>17</v>
      </c>
      <c r="H4" s="9">
        <v>48</v>
      </c>
      <c r="I4" s="10">
        <f>IF(H4="–","–",IFERROR(VLOOKUP(H4,Tabeller!$A$2:$B$35,2,TRUE()),2960))</f>
        <v>2960</v>
      </c>
      <c r="J4" s="11">
        <v>2960</v>
      </c>
      <c r="K4" s="12">
        <f t="shared" ref="K4:K28" si="0">IF(ISNUMBER(I4),IF(ISNUMBER(J4),J4-I4,""),"–")</f>
        <v>0</v>
      </c>
      <c r="L4" s="62" t="s">
        <v>18</v>
      </c>
    </row>
    <row r="5" spans="1:19" ht="30" customHeight="1" x14ac:dyDescent="0.45">
      <c r="A5" s="13">
        <v>2</v>
      </c>
      <c r="B5" s="14" t="s">
        <v>19</v>
      </c>
      <c r="C5" s="15" t="s">
        <v>13</v>
      </c>
      <c r="D5" s="16" t="s">
        <v>14</v>
      </c>
      <c r="E5" s="16" t="s">
        <v>15</v>
      </c>
      <c r="F5" s="17" t="s">
        <v>16</v>
      </c>
      <c r="G5" s="18"/>
      <c r="H5" s="19">
        <v>23</v>
      </c>
      <c r="I5" s="20">
        <f>IF(H5="–","–",IFERROR(VLOOKUP(H5,Tabeller!$A$2:$B$35,2,TRUE()),2960))</f>
        <v>2960</v>
      </c>
      <c r="J5" s="21">
        <v>2960</v>
      </c>
      <c r="K5" s="22">
        <f t="shared" si="0"/>
        <v>0</v>
      </c>
      <c r="L5" s="62" t="s">
        <v>18</v>
      </c>
    </row>
    <row r="6" spans="1:19" ht="30" customHeight="1" x14ac:dyDescent="0.45">
      <c r="A6" s="3">
        <v>3</v>
      </c>
      <c r="B6" s="4" t="s">
        <v>20</v>
      </c>
      <c r="C6" s="5" t="s">
        <v>13</v>
      </c>
      <c r="D6" s="6" t="s">
        <v>14</v>
      </c>
      <c r="E6" s="6" t="s">
        <v>15</v>
      </c>
      <c r="F6" s="7" t="s">
        <v>16</v>
      </c>
      <c r="G6" s="8"/>
      <c r="H6" s="9">
        <v>22</v>
      </c>
      <c r="I6" s="10">
        <f>IF(H6="–","–",IFERROR(VLOOKUP(H6,Tabeller!$A$2:$B$35,2,TRUE()),2960))</f>
        <v>2960</v>
      </c>
      <c r="J6" s="11">
        <v>2960</v>
      </c>
      <c r="K6" s="12">
        <f t="shared" si="0"/>
        <v>0</v>
      </c>
      <c r="L6" s="62" t="s">
        <v>18</v>
      </c>
    </row>
    <row r="7" spans="1:19" ht="30" customHeight="1" x14ac:dyDescent="0.45">
      <c r="A7" s="13">
        <v>4</v>
      </c>
      <c r="B7" s="14" t="s">
        <v>21</v>
      </c>
      <c r="C7" s="15" t="s">
        <v>13</v>
      </c>
      <c r="D7" s="16" t="s">
        <v>14</v>
      </c>
      <c r="E7" s="16" t="s">
        <v>15</v>
      </c>
      <c r="F7" s="17" t="s">
        <v>16</v>
      </c>
      <c r="G7" s="18" t="s">
        <v>22</v>
      </c>
      <c r="H7" s="19">
        <v>9</v>
      </c>
      <c r="I7" s="20">
        <f>IF(H7="–","–",IFERROR(VLOOKUP(H7,Tabeller!$A$2:$B$35,2,TRUE()),2960))</f>
        <v>2960</v>
      </c>
      <c r="J7" s="21">
        <v>2960</v>
      </c>
      <c r="K7" s="22">
        <f t="shared" si="0"/>
        <v>0</v>
      </c>
      <c r="L7" s="62" t="s">
        <v>18</v>
      </c>
    </row>
    <row r="8" spans="1:19" ht="30" customHeight="1" x14ac:dyDescent="0.45">
      <c r="A8" s="3">
        <v>5</v>
      </c>
      <c r="B8" s="4" t="s">
        <v>23</v>
      </c>
      <c r="C8" s="5" t="s">
        <v>13</v>
      </c>
      <c r="D8" s="6" t="s">
        <v>24</v>
      </c>
      <c r="E8" s="6" t="s">
        <v>25</v>
      </c>
      <c r="F8" s="7" t="s">
        <v>26</v>
      </c>
      <c r="G8" s="8" t="s">
        <v>27</v>
      </c>
      <c r="H8" s="9">
        <v>15</v>
      </c>
      <c r="I8" s="10">
        <f>1600</f>
        <v>1600</v>
      </c>
      <c r="J8" s="11">
        <v>1600</v>
      </c>
      <c r="K8" s="12">
        <f t="shared" si="0"/>
        <v>0</v>
      </c>
      <c r="L8" s="62" t="s">
        <v>18</v>
      </c>
    </row>
    <row r="9" spans="1:19" ht="30" customHeight="1" x14ac:dyDescent="0.45">
      <c r="A9" s="13">
        <v>6</v>
      </c>
      <c r="B9" s="14" t="s">
        <v>28</v>
      </c>
      <c r="C9" s="15" t="s">
        <v>13</v>
      </c>
      <c r="D9" s="16" t="s">
        <v>14</v>
      </c>
      <c r="E9" s="16" t="s">
        <v>15</v>
      </c>
      <c r="F9" s="17" t="s">
        <v>16</v>
      </c>
      <c r="G9" s="18"/>
      <c r="H9" s="19">
        <v>7</v>
      </c>
      <c r="I9" s="20">
        <f>IF(H9="–","–",IFERROR(VLOOKUP(H9,Tabeller!$A$2:$B$35,2,TRUE()),2960))</f>
        <v>2960</v>
      </c>
      <c r="J9" s="21">
        <v>2960</v>
      </c>
      <c r="K9" s="22">
        <f t="shared" si="0"/>
        <v>0</v>
      </c>
      <c r="L9" s="62" t="s">
        <v>18</v>
      </c>
    </row>
    <row r="10" spans="1:19" ht="30" customHeight="1" x14ac:dyDescent="0.45">
      <c r="A10" s="3">
        <v>7</v>
      </c>
      <c r="B10" s="4" t="s">
        <v>29</v>
      </c>
      <c r="C10" s="5" t="s">
        <v>13</v>
      </c>
      <c r="D10" s="16" t="s">
        <v>14</v>
      </c>
      <c r="E10" s="16" t="s">
        <v>15</v>
      </c>
      <c r="F10" s="23" t="s">
        <v>16</v>
      </c>
      <c r="G10" s="24" t="s">
        <v>30</v>
      </c>
      <c r="H10" s="25">
        <v>110</v>
      </c>
      <c r="I10" s="10">
        <v>3580</v>
      </c>
      <c r="J10" s="11">
        <v>3580</v>
      </c>
      <c r="K10" s="12">
        <f t="shared" si="0"/>
        <v>0</v>
      </c>
      <c r="L10" s="62" t="s">
        <v>18</v>
      </c>
      <c r="M10" s="71" t="s">
        <v>298</v>
      </c>
      <c r="N10" s="72"/>
      <c r="O10" s="72"/>
      <c r="P10" s="72"/>
      <c r="Q10" s="72"/>
    </row>
    <row r="11" spans="1:19" ht="30" customHeight="1" x14ac:dyDescent="0.45">
      <c r="A11" s="13">
        <v>8</v>
      </c>
      <c r="B11" s="14" t="s">
        <v>31</v>
      </c>
      <c r="C11" s="15" t="s">
        <v>13</v>
      </c>
      <c r="D11" s="16" t="s">
        <v>32</v>
      </c>
      <c r="E11" s="16" t="s">
        <v>33</v>
      </c>
      <c r="F11" s="17" t="s">
        <v>34</v>
      </c>
      <c r="G11" s="18" t="s">
        <v>35</v>
      </c>
      <c r="H11" s="19">
        <v>206</v>
      </c>
      <c r="I11" s="20">
        <f>IF(H11="–","–",IFERROR(VLOOKUP(H11,Tabeller!$A$2:$B$35,2,TRUE()),2960)+3*199)</f>
        <v>5267</v>
      </c>
      <c r="J11" s="21">
        <v>5267</v>
      </c>
      <c r="K11" s="22">
        <f t="shared" si="0"/>
        <v>0</v>
      </c>
      <c r="L11" s="62" t="s">
        <v>18</v>
      </c>
      <c r="M11" s="64" t="s">
        <v>289</v>
      </c>
      <c r="N11" s="64"/>
      <c r="O11" s="64"/>
    </row>
    <row r="12" spans="1:19" ht="30" customHeight="1" x14ac:dyDescent="0.45">
      <c r="A12" s="3">
        <v>9</v>
      </c>
      <c r="B12" s="4" t="s">
        <v>36</v>
      </c>
      <c r="C12" s="5" t="s">
        <v>13</v>
      </c>
      <c r="D12" s="6" t="s">
        <v>37</v>
      </c>
      <c r="E12" s="6" t="s">
        <v>38</v>
      </c>
      <c r="F12" s="7" t="s">
        <v>39</v>
      </c>
      <c r="G12" s="8" t="s">
        <v>40</v>
      </c>
      <c r="H12" s="9">
        <v>46</v>
      </c>
      <c r="I12" s="10">
        <f>0</f>
        <v>0</v>
      </c>
      <c r="J12" s="11">
        <v>0</v>
      </c>
      <c r="K12" s="12">
        <f t="shared" si="0"/>
        <v>0</v>
      </c>
      <c r="L12" s="62"/>
    </row>
    <row r="13" spans="1:19" ht="30" customHeight="1" x14ac:dyDescent="0.45">
      <c r="A13" s="13">
        <v>10</v>
      </c>
      <c r="B13" s="14" t="s">
        <v>41</v>
      </c>
      <c r="C13" s="15" t="s">
        <v>13</v>
      </c>
      <c r="D13" s="16" t="s">
        <v>37</v>
      </c>
      <c r="E13" s="16" t="s">
        <v>38</v>
      </c>
      <c r="F13" s="17" t="s">
        <v>39</v>
      </c>
      <c r="G13" s="18" t="s">
        <v>42</v>
      </c>
      <c r="H13" s="19">
        <v>40</v>
      </c>
      <c r="I13" s="20">
        <f>8880</f>
        <v>8880</v>
      </c>
      <c r="J13" s="21">
        <v>8880</v>
      </c>
      <c r="K13" s="22">
        <f t="shared" si="0"/>
        <v>0</v>
      </c>
    </row>
    <row r="14" spans="1:19" ht="30" customHeight="1" x14ac:dyDescent="0.45">
      <c r="A14" s="3">
        <v>11</v>
      </c>
      <c r="B14" s="4" t="s">
        <v>43</v>
      </c>
      <c r="C14" s="5" t="s">
        <v>13</v>
      </c>
      <c r="D14" s="6" t="s">
        <v>44</v>
      </c>
      <c r="E14" s="6" t="s">
        <v>45</v>
      </c>
      <c r="F14" s="7" t="s">
        <v>16</v>
      </c>
      <c r="G14" s="8"/>
      <c r="H14" s="25">
        <v>117</v>
      </c>
      <c r="I14" s="26">
        <f>IF(H14="–","–",IFERROR(VLOOKUP(H14,Tabeller!$A$2:$B$35,2,TRUE()),2960)+1439)</f>
        <v>5019</v>
      </c>
      <c r="J14" s="27">
        <v>5019</v>
      </c>
      <c r="K14" s="25">
        <f t="shared" si="0"/>
        <v>0</v>
      </c>
      <c r="L14" s="62" t="s">
        <v>18</v>
      </c>
      <c r="M14" s="64" t="s">
        <v>285</v>
      </c>
      <c r="N14" s="64"/>
      <c r="O14" s="64"/>
    </row>
    <row r="15" spans="1:19" ht="30" customHeight="1" x14ac:dyDescent="0.45">
      <c r="A15" s="13">
        <v>12</v>
      </c>
      <c r="B15" s="14" t="s">
        <v>46</v>
      </c>
      <c r="C15" s="15" t="s">
        <v>13</v>
      </c>
      <c r="D15" s="16" t="s">
        <v>47</v>
      </c>
      <c r="E15" s="16" t="s">
        <v>48</v>
      </c>
      <c r="F15" s="17" t="s">
        <v>49</v>
      </c>
      <c r="G15" s="18"/>
      <c r="H15" s="19">
        <v>309</v>
      </c>
      <c r="I15" s="20">
        <f>IF(H15="–","–",IFERROR(VLOOKUP(H15,Tabeller!$A$2:$B$35,2,TRUE()),2960)+199)</f>
        <v>7029</v>
      </c>
      <c r="J15" s="21">
        <v>7029</v>
      </c>
      <c r="K15" s="22">
        <f t="shared" si="0"/>
        <v>0</v>
      </c>
      <c r="L15" s="62" t="s">
        <v>18</v>
      </c>
      <c r="M15" s="75"/>
      <c r="N15" s="74"/>
      <c r="O15" s="74"/>
      <c r="P15" s="74"/>
      <c r="Q15" s="74"/>
      <c r="R15" s="74"/>
      <c r="S15" s="74"/>
    </row>
    <row r="16" spans="1:19" ht="30" customHeight="1" x14ac:dyDescent="0.45">
      <c r="A16" s="3">
        <v>13</v>
      </c>
      <c r="B16" s="4" t="s">
        <v>50</v>
      </c>
      <c r="C16" s="5" t="s">
        <v>13</v>
      </c>
      <c r="D16" s="6" t="s">
        <v>51</v>
      </c>
      <c r="E16" s="6" t="s">
        <v>52</v>
      </c>
      <c r="F16" s="7" t="s">
        <v>16</v>
      </c>
      <c r="G16" s="8" t="s">
        <v>53</v>
      </c>
      <c r="H16" s="9">
        <v>83</v>
      </c>
      <c r="I16" s="10">
        <f>IF(H16="–","–",IFERROR(VLOOKUP(H16,Tabeller!$A$2:$B$35,2,TRUE()),2960)+360)</f>
        <v>3320</v>
      </c>
      <c r="J16" s="11">
        <v>3320</v>
      </c>
      <c r="K16" s="12">
        <f t="shared" si="0"/>
        <v>0</v>
      </c>
      <c r="L16" s="62" t="s">
        <v>18</v>
      </c>
    </row>
    <row r="17" spans="1:17" ht="30" customHeight="1" x14ac:dyDescent="0.45">
      <c r="A17" s="13">
        <v>14</v>
      </c>
      <c r="B17" s="14" t="s">
        <v>54</v>
      </c>
      <c r="C17" s="15" t="s">
        <v>13</v>
      </c>
      <c r="D17" s="16" t="s">
        <v>14</v>
      </c>
      <c r="E17" s="16" t="s">
        <v>15</v>
      </c>
      <c r="F17" s="17" t="s">
        <v>16</v>
      </c>
      <c r="G17" s="18"/>
      <c r="H17" s="19">
        <v>65</v>
      </c>
      <c r="I17" s="20">
        <f>IF(H17="–","–",IFERROR(VLOOKUP(H17,Tabeller!$A$2:$B$35,2,TRUE()),2960))</f>
        <v>2960</v>
      </c>
      <c r="J17" s="21">
        <v>2960</v>
      </c>
      <c r="K17" s="22">
        <f t="shared" si="0"/>
        <v>0</v>
      </c>
      <c r="L17" s="62" t="s">
        <v>18</v>
      </c>
    </row>
    <row r="18" spans="1:17" ht="30" customHeight="1" x14ac:dyDescent="0.45">
      <c r="A18" s="3">
        <v>15</v>
      </c>
      <c r="B18" s="4" t="s">
        <v>55</v>
      </c>
      <c r="C18" s="5" t="s">
        <v>13</v>
      </c>
      <c r="D18" s="6" t="s">
        <v>56</v>
      </c>
      <c r="E18" s="6" t="s">
        <v>57</v>
      </c>
      <c r="F18" s="7" t="s">
        <v>16</v>
      </c>
      <c r="G18" s="8" t="s">
        <v>58</v>
      </c>
      <c r="H18" s="9">
        <v>15</v>
      </c>
      <c r="I18" s="10">
        <f>IF(H18="–","–",ROUND(IFERROR(VLOOKUP(H18,Tabeller!$A$2:$B$35,2,TRUE()),2960)*0.9,0))</f>
        <v>2664</v>
      </c>
      <c r="J18" s="11">
        <v>2664</v>
      </c>
      <c r="K18" s="12">
        <f t="shared" si="0"/>
        <v>0</v>
      </c>
      <c r="L18" s="62" t="s">
        <v>18</v>
      </c>
    </row>
    <row r="19" spans="1:17" ht="30" customHeight="1" x14ac:dyDescent="0.45">
      <c r="A19" s="13">
        <v>16</v>
      </c>
      <c r="B19" s="14" t="s">
        <v>59</v>
      </c>
      <c r="C19" s="15" t="s">
        <v>13</v>
      </c>
      <c r="D19" s="16" t="s">
        <v>14</v>
      </c>
      <c r="E19" s="16" t="s">
        <v>15</v>
      </c>
      <c r="F19" s="17" t="s">
        <v>16</v>
      </c>
      <c r="G19" s="18"/>
      <c r="H19" s="19">
        <v>49</v>
      </c>
      <c r="I19" s="20">
        <f>IF(H19="–","–",IFERROR(VLOOKUP(H19,Tabeller!$A$2:$B$35,2,TRUE()),2960))</f>
        <v>2960</v>
      </c>
      <c r="J19" s="21">
        <v>2960</v>
      </c>
      <c r="K19" s="22">
        <f t="shared" si="0"/>
        <v>0</v>
      </c>
      <c r="L19" s="62" t="s">
        <v>18</v>
      </c>
    </row>
    <row r="20" spans="1:17" ht="30" customHeight="1" x14ac:dyDescent="0.45">
      <c r="A20" s="3">
        <v>17</v>
      </c>
      <c r="B20" s="4" t="s">
        <v>60</v>
      </c>
      <c r="C20" s="5" t="s">
        <v>13</v>
      </c>
      <c r="D20" s="6" t="s">
        <v>61</v>
      </c>
      <c r="E20" s="6" t="s">
        <v>62</v>
      </c>
      <c r="F20" s="7" t="s">
        <v>16</v>
      </c>
      <c r="G20" s="8"/>
      <c r="H20" s="9">
        <v>68</v>
      </c>
      <c r="I20" s="10">
        <f>IF(H20="–","–",IFERROR(VLOOKUP(H20,Tabeller!$A$2:$B$35,2,TRUE()),2960)+199)</f>
        <v>3159</v>
      </c>
      <c r="J20" s="11">
        <v>3159</v>
      </c>
      <c r="K20" s="12">
        <f t="shared" si="0"/>
        <v>0</v>
      </c>
      <c r="L20" s="62" t="s">
        <v>18</v>
      </c>
    </row>
    <row r="21" spans="1:17" ht="30" customHeight="1" x14ac:dyDescent="0.45">
      <c r="A21" s="13">
        <v>18</v>
      </c>
      <c r="B21" s="14" t="s">
        <v>63</v>
      </c>
      <c r="C21" s="15" t="s">
        <v>13</v>
      </c>
      <c r="D21" s="16" t="s">
        <v>14</v>
      </c>
      <c r="E21" s="16" t="s">
        <v>15</v>
      </c>
      <c r="F21" s="17" t="s">
        <v>16</v>
      </c>
      <c r="G21" s="18"/>
      <c r="H21" s="19">
        <v>47</v>
      </c>
      <c r="I21" s="20">
        <f>IF(H21="–","–",IFERROR(VLOOKUP(H21,Tabeller!$A$2:$B$35,2,TRUE()),2960))</f>
        <v>2960</v>
      </c>
      <c r="J21" s="21">
        <v>2960</v>
      </c>
      <c r="K21" s="22">
        <f t="shared" si="0"/>
        <v>0</v>
      </c>
      <c r="L21" s="62" t="s">
        <v>18</v>
      </c>
    </row>
    <row r="22" spans="1:17" ht="30" customHeight="1" x14ac:dyDescent="0.45">
      <c r="A22" s="3">
        <v>19</v>
      </c>
      <c r="B22" s="4" t="s">
        <v>64</v>
      </c>
      <c r="C22" s="5" t="s">
        <v>13</v>
      </c>
      <c r="D22" s="6" t="s">
        <v>14</v>
      </c>
      <c r="E22" s="6" t="s">
        <v>15</v>
      </c>
      <c r="F22" s="7" t="s">
        <v>16</v>
      </c>
      <c r="G22" s="8"/>
      <c r="H22" s="9">
        <v>14</v>
      </c>
      <c r="I22" s="10">
        <f>IF(H22="–","–",IFERROR(VLOOKUP(H22,Tabeller!$A$2:$B$35,2,TRUE()),2960))</f>
        <v>2960</v>
      </c>
      <c r="J22" s="11">
        <v>2960</v>
      </c>
      <c r="K22" s="12">
        <f t="shared" si="0"/>
        <v>0</v>
      </c>
      <c r="L22" s="62" t="s">
        <v>18</v>
      </c>
    </row>
    <row r="23" spans="1:17" ht="30" customHeight="1" x14ac:dyDescent="0.45">
      <c r="A23" s="13">
        <v>20</v>
      </c>
      <c r="B23" s="14" t="s">
        <v>65</v>
      </c>
      <c r="C23" s="15" t="s">
        <v>13</v>
      </c>
      <c r="D23" s="16" t="s">
        <v>14</v>
      </c>
      <c r="E23" s="16" t="s">
        <v>15</v>
      </c>
      <c r="F23" s="17" t="s">
        <v>16</v>
      </c>
      <c r="G23" s="28"/>
      <c r="H23" s="19">
        <v>175</v>
      </c>
      <c r="I23" s="20">
        <f>IF(H23="–","–",IFERROR(VLOOKUP(H23,Tabeller!$A$2:$B$35,2,TRUE()),2960))</f>
        <v>4090</v>
      </c>
      <c r="J23" s="21">
        <v>4090</v>
      </c>
      <c r="K23" s="22">
        <f t="shared" si="0"/>
        <v>0</v>
      </c>
      <c r="L23" s="62" t="s">
        <v>18</v>
      </c>
      <c r="M23" s="71" t="s">
        <v>290</v>
      </c>
      <c r="N23" s="72"/>
      <c r="O23" s="72"/>
      <c r="P23" s="72"/>
      <c r="Q23" s="72"/>
    </row>
    <row r="24" spans="1:17" ht="30" customHeight="1" x14ac:dyDescent="0.45">
      <c r="A24" s="3">
        <v>21</v>
      </c>
      <c r="B24" s="4" t="s">
        <v>66</v>
      </c>
      <c r="C24" s="5" t="s">
        <v>13</v>
      </c>
      <c r="D24" s="6" t="s">
        <v>14</v>
      </c>
      <c r="E24" s="6" t="s">
        <v>15</v>
      </c>
      <c r="F24" s="7" t="s">
        <v>16</v>
      </c>
      <c r="G24" s="8"/>
      <c r="H24" s="9">
        <v>128</v>
      </c>
      <c r="I24" s="10">
        <v>3580</v>
      </c>
      <c r="J24" s="11">
        <v>3580</v>
      </c>
      <c r="K24" s="12">
        <f t="shared" si="0"/>
        <v>0</v>
      </c>
      <c r="L24" s="62" t="s">
        <v>18</v>
      </c>
      <c r="M24" s="67"/>
      <c r="N24" s="67"/>
      <c r="O24" s="67"/>
      <c r="P24" s="67"/>
    </row>
    <row r="25" spans="1:17" ht="30" customHeight="1" x14ac:dyDescent="0.45">
      <c r="A25" s="13">
        <v>22</v>
      </c>
      <c r="B25" s="14" t="s">
        <v>67</v>
      </c>
      <c r="C25" s="15" t="s">
        <v>13</v>
      </c>
      <c r="D25" s="16" t="s">
        <v>47</v>
      </c>
      <c r="E25" s="16" t="s">
        <v>68</v>
      </c>
      <c r="F25" s="17" t="s">
        <v>16</v>
      </c>
      <c r="G25" s="18"/>
      <c r="H25" s="19">
        <v>13</v>
      </c>
      <c r="I25" s="20">
        <v>3159</v>
      </c>
      <c r="J25" s="21">
        <v>3159</v>
      </c>
      <c r="K25" s="22">
        <f t="shared" si="0"/>
        <v>0</v>
      </c>
      <c r="L25" s="62" t="s">
        <v>18</v>
      </c>
      <c r="M25" s="66" t="s">
        <v>291</v>
      </c>
      <c r="N25" s="66"/>
      <c r="O25" s="66"/>
    </row>
    <row r="26" spans="1:17" ht="30" customHeight="1" x14ac:dyDescent="0.45">
      <c r="A26" s="3">
        <v>23</v>
      </c>
      <c r="B26" s="4" t="s">
        <v>69</v>
      </c>
      <c r="C26" s="5" t="s">
        <v>13</v>
      </c>
      <c r="D26" s="6" t="s">
        <v>14</v>
      </c>
      <c r="E26" s="6" t="s">
        <v>15</v>
      </c>
      <c r="F26" s="7" t="s">
        <v>16</v>
      </c>
      <c r="G26" s="8"/>
      <c r="H26" s="9">
        <v>74</v>
      </c>
      <c r="I26" s="10">
        <f>IF(H26="–","–",IFERROR(VLOOKUP(H26,Tabeller!$A$2:$B$35,2,TRUE()),2960))</f>
        <v>2960</v>
      </c>
      <c r="J26" s="11">
        <v>2960</v>
      </c>
      <c r="K26" s="12">
        <f t="shared" si="0"/>
        <v>0</v>
      </c>
      <c r="L26" s="62" t="s">
        <v>18</v>
      </c>
    </row>
    <row r="27" spans="1:17" ht="30" customHeight="1" x14ac:dyDescent="0.45">
      <c r="A27" s="13">
        <v>24</v>
      </c>
      <c r="B27" s="14" t="s">
        <v>70</v>
      </c>
      <c r="C27" s="15" t="s">
        <v>13</v>
      </c>
      <c r="D27" s="16" t="s">
        <v>14</v>
      </c>
      <c r="E27" s="16" t="s">
        <v>15</v>
      </c>
      <c r="F27" s="17" t="s">
        <v>16</v>
      </c>
      <c r="G27" s="18" t="s">
        <v>71</v>
      </c>
      <c r="H27" s="19">
        <v>42</v>
      </c>
      <c r="I27" s="20">
        <f>IF(H27="–","–",IFERROR(VLOOKUP(H27,Tabeller!$A$2:$B$35,2,TRUE()),2960))</f>
        <v>2960</v>
      </c>
      <c r="J27" s="21">
        <v>2960</v>
      </c>
      <c r="K27" s="22">
        <f t="shared" si="0"/>
        <v>0</v>
      </c>
      <c r="L27" s="62" t="s">
        <v>18</v>
      </c>
    </row>
    <row r="28" spans="1:17" ht="30" customHeight="1" x14ac:dyDescent="0.45">
      <c r="A28" s="3">
        <v>25</v>
      </c>
      <c r="B28" s="29" t="s">
        <v>72</v>
      </c>
      <c r="C28" s="5" t="s">
        <v>13</v>
      </c>
      <c r="D28" s="6" t="s">
        <v>14</v>
      </c>
      <c r="E28" s="6" t="s">
        <v>15</v>
      </c>
      <c r="F28" s="7" t="s">
        <v>16</v>
      </c>
      <c r="G28" s="24" t="s">
        <v>73</v>
      </c>
      <c r="H28" s="9">
        <v>42</v>
      </c>
      <c r="I28" s="10">
        <f>IF(H28="–","–",IFERROR(VLOOKUP(H28,Tabeller!$A$2:$B$35,2,TRUE()),2960))</f>
        <v>2960</v>
      </c>
      <c r="J28" s="11">
        <v>2960</v>
      </c>
      <c r="K28" s="12">
        <f t="shared" si="0"/>
        <v>0</v>
      </c>
      <c r="L28" s="62" t="s">
        <v>74</v>
      </c>
    </row>
    <row r="30" spans="1:17" ht="18" customHeight="1" x14ac:dyDescent="0.45">
      <c r="A30" s="76" t="s">
        <v>75</v>
      </c>
      <c r="B30" s="69"/>
      <c r="C30" s="69"/>
      <c r="D30" s="69"/>
      <c r="E30" s="69"/>
      <c r="F30" s="69"/>
      <c r="G30" s="69"/>
      <c r="H30" s="69"/>
      <c r="I30" s="69"/>
      <c r="J30" s="69"/>
      <c r="K30" s="70"/>
    </row>
    <row r="31" spans="1:17" ht="30" customHeight="1" x14ac:dyDescent="0.45">
      <c r="A31" s="3">
        <v>26</v>
      </c>
      <c r="B31" s="4" t="s">
        <v>76</v>
      </c>
      <c r="C31" s="5" t="s">
        <v>13</v>
      </c>
      <c r="D31" s="6" t="s">
        <v>77</v>
      </c>
      <c r="E31" s="6" t="s">
        <v>78</v>
      </c>
      <c r="F31" s="7" t="s">
        <v>79</v>
      </c>
      <c r="G31" s="8" t="s">
        <v>80</v>
      </c>
      <c r="H31" s="25">
        <v>20</v>
      </c>
      <c r="I31" s="10">
        <f>IF(H31="–",920,920+MAX(0,H31-20)*46)</f>
        <v>920</v>
      </c>
      <c r="J31" s="11">
        <v>920</v>
      </c>
      <c r="K31" s="12">
        <f t="shared" ref="K31:K51" si="1">IF(ISNUMBER(I31),IF(ISNUMBER(J31),J31-I31,""),"–")</f>
        <v>0</v>
      </c>
      <c r="L31" s="62" t="s">
        <v>18</v>
      </c>
    </row>
    <row r="32" spans="1:17" ht="30" customHeight="1" x14ac:dyDescent="0.45">
      <c r="A32" s="13">
        <v>27</v>
      </c>
      <c r="B32" s="14" t="s">
        <v>81</v>
      </c>
      <c r="C32" s="15" t="s">
        <v>13</v>
      </c>
      <c r="D32" s="16" t="s">
        <v>82</v>
      </c>
      <c r="E32" s="30" t="s">
        <v>83</v>
      </c>
      <c r="F32" s="17" t="s">
        <v>84</v>
      </c>
      <c r="G32" s="18" t="s">
        <v>85</v>
      </c>
      <c r="H32" s="19">
        <v>457</v>
      </c>
      <c r="I32" s="20">
        <f>IF(H32="–","–",17000+MAX(0,H32-800)*26)</f>
        <v>17000</v>
      </c>
      <c r="J32" s="21">
        <v>17000</v>
      </c>
      <c r="K32" s="22">
        <f t="shared" si="1"/>
        <v>0</v>
      </c>
      <c r="L32" s="62" t="s">
        <v>18</v>
      </c>
      <c r="M32" s="73"/>
      <c r="N32" s="74"/>
      <c r="O32" s="74"/>
      <c r="P32" s="74"/>
      <c r="Q32" s="74"/>
    </row>
    <row r="33" spans="1:18" ht="30" customHeight="1" x14ac:dyDescent="0.45">
      <c r="A33" s="3">
        <v>28</v>
      </c>
      <c r="B33" s="4" t="s">
        <v>86</v>
      </c>
      <c r="C33" s="5" t="s">
        <v>13</v>
      </c>
      <c r="D33" s="6" t="s">
        <v>87</v>
      </c>
      <c r="E33" s="6" t="s">
        <v>88</v>
      </c>
      <c r="F33" s="7" t="s">
        <v>89</v>
      </c>
      <c r="G33" s="24" t="s">
        <v>90</v>
      </c>
      <c r="H33" s="25">
        <v>1662</v>
      </c>
      <c r="I33" s="10">
        <v>16620</v>
      </c>
      <c r="J33" s="11">
        <v>16620</v>
      </c>
      <c r="K33" s="22">
        <f t="shared" si="1"/>
        <v>0</v>
      </c>
      <c r="L33" s="62" t="s">
        <v>18</v>
      </c>
      <c r="M33" s="71" t="s">
        <v>297</v>
      </c>
      <c r="N33" s="71"/>
      <c r="O33" s="71"/>
      <c r="P33" s="71"/>
    </row>
    <row r="34" spans="1:18" ht="30" customHeight="1" x14ac:dyDescent="0.45">
      <c r="A34" s="13">
        <v>29</v>
      </c>
      <c r="B34" s="14" t="s">
        <v>91</v>
      </c>
      <c r="C34" s="15" t="s">
        <v>13</v>
      </c>
      <c r="D34" s="16" t="s">
        <v>77</v>
      </c>
      <c r="E34" s="16" t="s">
        <v>92</v>
      </c>
      <c r="F34" s="17" t="s">
        <v>93</v>
      </c>
      <c r="G34" s="18"/>
      <c r="H34" s="19">
        <v>9</v>
      </c>
      <c r="I34" s="20">
        <f>IF(H34="–","–",195+H34*29)</f>
        <v>456</v>
      </c>
      <c r="J34" s="21">
        <v>456</v>
      </c>
      <c r="K34" s="22">
        <f t="shared" si="1"/>
        <v>0</v>
      </c>
      <c r="L34" s="62" t="s">
        <v>18</v>
      </c>
    </row>
    <row r="35" spans="1:18" ht="30" customHeight="1" x14ac:dyDescent="0.45">
      <c r="A35" s="3">
        <v>30</v>
      </c>
      <c r="B35" s="4" t="s">
        <v>94</v>
      </c>
      <c r="C35" s="5" t="s">
        <v>13</v>
      </c>
      <c r="D35" s="6" t="s">
        <v>77</v>
      </c>
      <c r="E35" s="6" t="s">
        <v>95</v>
      </c>
      <c r="F35" s="7" t="s">
        <v>79</v>
      </c>
      <c r="G35" s="8" t="s">
        <v>96</v>
      </c>
      <c r="H35" s="9">
        <v>25</v>
      </c>
      <c r="I35" s="10">
        <v>1050</v>
      </c>
      <c r="J35" s="11">
        <v>1050</v>
      </c>
      <c r="K35" s="12">
        <f t="shared" si="1"/>
        <v>0</v>
      </c>
      <c r="L35" s="62" t="s">
        <v>18</v>
      </c>
      <c r="M35" s="66" t="s">
        <v>299</v>
      </c>
      <c r="N35" s="66"/>
      <c r="O35" s="66"/>
      <c r="P35" s="66"/>
    </row>
    <row r="36" spans="1:18" ht="30" customHeight="1" x14ac:dyDescent="0.45">
      <c r="A36" s="13">
        <v>31</v>
      </c>
      <c r="B36" s="14" t="s">
        <v>97</v>
      </c>
      <c r="C36" s="15" t="s">
        <v>13</v>
      </c>
      <c r="D36" s="16" t="s">
        <v>77</v>
      </c>
      <c r="E36" s="16" t="s">
        <v>98</v>
      </c>
      <c r="F36" s="17" t="s">
        <v>79</v>
      </c>
      <c r="G36" s="18" t="s">
        <v>99</v>
      </c>
      <c r="H36" s="19">
        <v>0</v>
      </c>
      <c r="I36" s="20">
        <f>805</f>
        <v>805</v>
      </c>
      <c r="J36" s="21">
        <v>805</v>
      </c>
      <c r="K36" s="22">
        <f t="shared" si="1"/>
        <v>0</v>
      </c>
      <c r="L36" s="62" t="s">
        <v>18</v>
      </c>
    </row>
    <row r="37" spans="1:18" ht="30" customHeight="1" x14ac:dyDescent="0.45">
      <c r="A37" s="3">
        <v>32</v>
      </c>
      <c r="B37" s="4" t="s">
        <v>100</v>
      </c>
      <c r="C37" s="5" t="s">
        <v>13</v>
      </c>
      <c r="D37" s="6" t="s">
        <v>101</v>
      </c>
      <c r="E37" s="6" t="s">
        <v>102</v>
      </c>
      <c r="F37" s="7" t="s">
        <v>79</v>
      </c>
      <c r="G37" s="8" t="s">
        <v>103</v>
      </c>
      <c r="H37" s="9">
        <v>36</v>
      </c>
      <c r="I37" s="10">
        <f>IF(H37="–","–",700+MAX(0,H37-20)*36+3*139)</f>
        <v>1693</v>
      </c>
      <c r="J37" s="11">
        <v>1693</v>
      </c>
      <c r="K37" s="12">
        <f t="shared" si="1"/>
        <v>0</v>
      </c>
      <c r="L37" s="62" t="s">
        <v>18</v>
      </c>
    </row>
    <row r="38" spans="1:18" ht="30" customHeight="1" x14ac:dyDescent="0.45">
      <c r="A38" s="13">
        <v>33</v>
      </c>
      <c r="B38" s="14" t="s">
        <v>104</v>
      </c>
      <c r="C38" s="15" t="s">
        <v>13</v>
      </c>
      <c r="D38" s="16" t="s">
        <v>77</v>
      </c>
      <c r="E38" s="16" t="s">
        <v>105</v>
      </c>
      <c r="F38" s="17" t="s">
        <v>106</v>
      </c>
      <c r="G38" s="18"/>
      <c r="H38" s="19">
        <v>57</v>
      </c>
      <c r="I38" s="20">
        <f>IF(H38="–","–",1180+MAX(0,H38-40)*27)</f>
        <v>1639</v>
      </c>
      <c r="J38" s="21">
        <v>1639</v>
      </c>
      <c r="K38" s="22">
        <f t="shared" si="1"/>
        <v>0</v>
      </c>
      <c r="L38" s="62" t="s">
        <v>18</v>
      </c>
    </row>
    <row r="39" spans="1:18" ht="30" customHeight="1" x14ac:dyDescent="0.45">
      <c r="A39" s="3">
        <v>34</v>
      </c>
      <c r="B39" s="4" t="s">
        <v>107</v>
      </c>
      <c r="C39" s="5" t="s">
        <v>13</v>
      </c>
      <c r="D39" s="6" t="s">
        <v>77</v>
      </c>
      <c r="E39" s="6" t="s">
        <v>108</v>
      </c>
      <c r="F39" s="7" t="s">
        <v>79</v>
      </c>
      <c r="G39" s="8"/>
      <c r="H39" s="9">
        <v>19</v>
      </c>
      <c r="I39" s="10">
        <f>IF(H39="–","–",860+MAX(0,H39-20)*42)</f>
        <v>860</v>
      </c>
      <c r="J39" s="11">
        <v>860</v>
      </c>
      <c r="K39" s="12">
        <f t="shared" si="1"/>
        <v>0</v>
      </c>
      <c r="L39" s="62" t="s">
        <v>18</v>
      </c>
    </row>
    <row r="40" spans="1:18" ht="30" customHeight="1" x14ac:dyDescent="0.45">
      <c r="A40" s="13">
        <v>35</v>
      </c>
      <c r="B40" s="14" t="s">
        <v>109</v>
      </c>
      <c r="C40" s="15" t="s">
        <v>13</v>
      </c>
      <c r="D40" s="16" t="s">
        <v>77</v>
      </c>
      <c r="E40" s="16" t="s">
        <v>110</v>
      </c>
      <c r="F40" s="17" t="s">
        <v>111</v>
      </c>
      <c r="G40" s="18"/>
      <c r="H40" s="19">
        <v>93</v>
      </c>
      <c r="I40" s="20">
        <f>IF(H40="–","–",2900+MAX(0,H40-200)*18)</f>
        <v>2900</v>
      </c>
      <c r="J40" s="21">
        <v>2900</v>
      </c>
      <c r="K40" s="22">
        <f t="shared" si="1"/>
        <v>0</v>
      </c>
      <c r="L40" s="62" t="s">
        <v>18</v>
      </c>
    </row>
    <row r="41" spans="1:18" ht="30" customHeight="1" x14ac:dyDescent="0.45">
      <c r="A41" s="3">
        <v>36</v>
      </c>
      <c r="B41" s="4" t="s">
        <v>112</v>
      </c>
      <c r="C41" s="5" t="s">
        <v>13</v>
      </c>
      <c r="D41" s="6" t="s">
        <v>77</v>
      </c>
      <c r="E41" s="6" t="s">
        <v>113</v>
      </c>
      <c r="F41" s="7" t="s">
        <v>79</v>
      </c>
      <c r="G41" s="8" t="s">
        <v>114</v>
      </c>
      <c r="H41" s="9">
        <v>8</v>
      </c>
      <c r="I41" s="10">
        <f>IF(H41="–",2000,2000+MAX(0,H41-20)*40)</f>
        <v>2000</v>
      </c>
      <c r="J41" s="11">
        <v>2000</v>
      </c>
      <c r="K41" s="12">
        <f t="shared" si="1"/>
        <v>0</v>
      </c>
      <c r="L41" s="62" t="s">
        <v>18</v>
      </c>
    </row>
    <row r="42" spans="1:18" ht="30" customHeight="1" x14ac:dyDescent="0.45">
      <c r="A42" s="13">
        <v>37</v>
      </c>
      <c r="B42" s="14" t="s">
        <v>115</v>
      </c>
      <c r="C42" s="15" t="s">
        <v>13</v>
      </c>
      <c r="D42" s="16" t="s">
        <v>77</v>
      </c>
      <c r="E42" s="16" t="s">
        <v>108</v>
      </c>
      <c r="F42" s="17" t="s">
        <v>79</v>
      </c>
      <c r="G42" s="18"/>
      <c r="H42" s="19">
        <v>11</v>
      </c>
      <c r="I42" s="20">
        <f>IF(H42="–","–",860+MAX(0,H42-20)*42)</f>
        <v>860</v>
      </c>
      <c r="J42" s="21">
        <v>860</v>
      </c>
      <c r="K42" s="22">
        <f t="shared" si="1"/>
        <v>0</v>
      </c>
      <c r="L42" s="62" t="s">
        <v>18</v>
      </c>
    </row>
    <row r="43" spans="1:18" ht="30" customHeight="1" x14ac:dyDescent="0.45">
      <c r="A43" s="3">
        <v>38</v>
      </c>
      <c r="B43" s="4" t="s">
        <v>116</v>
      </c>
      <c r="C43" s="5" t="s">
        <v>13</v>
      </c>
      <c r="D43" s="6" t="s">
        <v>77</v>
      </c>
      <c r="E43" s="6" t="s">
        <v>117</v>
      </c>
      <c r="F43" s="7" t="s">
        <v>93</v>
      </c>
      <c r="G43" s="8"/>
      <c r="H43" s="9">
        <v>23</v>
      </c>
      <c r="I43" s="10">
        <f>IF(H43="–","–",199+H43*42)</f>
        <v>1165</v>
      </c>
      <c r="J43" s="11">
        <v>1165</v>
      </c>
      <c r="K43" s="12">
        <f t="shared" si="1"/>
        <v>0</v>
      </c>
      <c r="L43" s="62" t="s">
        <v>18</v>
      </c>
    </row>
    <row r="44" spans="1:18" ht="30" customHeight="1" x14ac:dyDescent="0.45">
      <c r="A44" s="13">
        <v>39</v>
      </c>
      <c r="B44" s="14" t="s">
        <v>118</v>
      </c>
      <c r="C44" s="15" t="s">
        <v>13</v>
      </c>
      <c r="D44" s="16" t="s">
        <v>119</v>
      </c>
      <c r="E44" s="16" t="s">
        <v>120</v>
      </c>
      <c r="F44" s="17" t="s">
        <v>121</v>
      </c>
      <c r="G44" s="18" t="s">
        <v>122</v>
      </c>
      <c r="H44" s="19">
        <v>72</v>
      </c>
      <c r="I44" s="20">
        <f>3010</f>
        <v>3010</v>
      </c>
      <c r="J44" s="21">
        <v>3010</v>
      </c>
      <c r="K44" s="22">
        <f t="shared" si="1"/>
        <v>0</v>
      </c>
      <c r="L44" s="62" t="s">
        <v>18</v>
      </c>
    </row>
    <row r="45" spans="1:18" ht="30" customHeight="1" x14ac:dyDescent="0.45">
      <c r="A45" s="3">
        <v>40</v>
      </c>
      <c r="B45" s="4" t="s">
        <v>123</v>
      </c>
      <c r="C45" s="5" t="s">
        <v>13</v>
      </c>
      <c r="D45" s="31" t="s">
        <v>77</v>
      </c>
      <c r="E45" s="31" t="s">
        <v>124</v>
      </c>
      <c r="F45" s="7" t="s">
        <v>125</v>
      </c>
      <c r="G45" s="8"/>
      <c r="H45" s="9">
        <v>162</v>
      </c>
      <c r="I45" s="10">
        <v>8110</v>
      </c>
      <c r="J45" s="11">
        <v>8110</v>
      </c>
      <c r="K45" s="12">
        <f t="shared" si="1"/>
        <v>0</v>
      </c>
      <c r="L45" s="62" t="s">
        <v>18</v>
      </c>
      <c r="M45" s="73"/>
      <c r="N45" s="74"/>
      <c r="O45" s="74"/>
      <c r="P45" s="74"/>
      <c r="Q45" s="74"/>
      <c r="R45" s="74"/>
    </row>
    <row r="46" spans="1:18" ht="30" customHeight="1" x14ac:dyDescent="0.45">
      <c r="A46" s="13">
        <v>41</v>
      </c>
      <c r="B46" s="14" t="s">
        <v>126</v>
      </c>
      <c r="C46" s="15" t="s">
        <v>13</v>
      </c>
      <c r="D46" s="16" t="s">
        <v>77</v>
      </c>
      <c r="E46" s="16" t="s">
        <v>127</v>
      </c>
      <c r="F46" s="17" t="s">
        <v>93</v>
      </c>
      <c r="G46" s="18"/>
      <c r="H46" s="19">
        <v>17</v>
      </c>
      <c r="I46" s="20">
        <f>IF(H46="–","–",515+H46*42)</f>
        <v>1229</v>
      </c>
      <c r="J46" s="21">
        <v>1229</v>
      </c>
      <c r="K46" s="22">
        <f t="shared" si="1"/>
        <v>0</v>
      </c>
      <c r="L46" s="62" t="s">
        <v>18</v>
      </c>
      <c r="M46" s="64" t="s">
        <v>281</v>
      </c>
      <c r="N46" s="64"/>
      <c r="O46" s="64"/>
    </row>
    <row r="47" spans="1:18" ht="30" customHeight="1" x14ac:dyDescent="0.45">
      <c r="A47" s="3">
        <v>42</v>
      </c>
      <c r="B47" s="4" t="s">
        <v>128</v>
      </c>
      <c r="C47" s="5" t="s">
        <v>13</v>
      </c>
      <c r="D47" s="6" t="s">
        <v>77</v>
      </c>
      <c r="E47" s="6" t="s">
        <v>129</v>
      </c>
      <c r="F47" s="7" t="s">
        <v>93</v>
      </c>
      <c r="G47" s="8"/>
      <c r="H47" s="9">
        <v>11</v>
      </c>
      <c r="I47" s="10">
        <f>IF(H47="–","–",199+H47*46)</f>
        <v>705</v>
      </c>
      <c r="J47" s="11">
        <v>705</v>
      </c>
      <c r="K47" s="12">
        <f t="shared" si="1"/>
        <v>0</v>
      </c>
      <c r="L47" s="62" t="s">
        <v>18</v>
      </c>
      <c r="M47" s="64" t="s">
        <v>282</v>
      </c>
      <c r="N47" s="64"/>
      <c r="O47" s="64"/>
    </row>
    <row r="48" spans="1:18" ht="30" customHeight="1" x14ac:dyDescent="0.45">
      <c r="A48" s="13">
        <v>43</v>
      </c>
      <c r="B48" s="14" t="s">
        <v>130</v>
      </c>
      <c r="C48" s="15" t="s">
        <v>13</v>
      </c>
      <c r="D48" s="16" t="s">
        <v>77</v>
      </c>
      <c r="E48" s="16" t="s">
        <v>131</v>
      </c>
      <c r="F48" s="17" t="s">
        <v>93</v>
      </c>
      <c r="G48" s="18"/>
      <c r="H48" s="19">
        <v>4</v>
      </c>
      <c r="I48" s="20">
        <f>IF(H48="–","–",199+H48*46)</f>
        <v>383</v>
      </c>
      <c r="J48" s="21">
        <v>383</v>
      </c>
      <c r="K48" s="22">
        <f t="shared" si="1"/>
        <v>0</v>
      </c>
      <c r="L48" s="62" t="s">
        <v>18</v>
      </c>
      <c r="M48" s="64" t="s">
        <v>288</v>
      </c>
      <c r="N48" s="64"/>
      <c r="O48" s="64"/>
    </row>
    <row r="49" spans="1:15" ht="30" customHeight="1" x14ac:dyDescent="0.45">
      <c r="A49" s="3">
        <v>44</v>
      </c>
      <c r="B49" s="4" t="s">
        <v>132</v>
      </c>
      <c r="C49" s="5" t="s">
        <v>13</v>
      </c>
      <c r="D49" s="6" t="s">
        <v>77</v>
      </c>
      <c r="E49" s="6" t="s">
        <v>133</v>
      </c>
      <c r="F49" s="7" t="s">
        <v>79</v>
      </c>
      <c r="G49" s="8"/>
      <c r="H49" s="9">
        <v>21</v>
      </c>
      <c r="I49" s="10">
        <f>IF(H49="–","–",880+MAX(0,H49-20)*45)</f>
        <v>925</v>
      </c>
      <c r="J49" s="11">
        <v>925</v>
      </c>
      <c r="K49" s="12">
        <f t="shared" si="1"/>
        <v>0</v>
      </c>
      <c r="L49" s="62" t="s">
        <v>18</v>
      </c>
      <c r="M49" s="66" t="s">
        <v>292</v>
      </c>
      <c r="N49" s="66"/>
      <c r="O49" s="66"/>
    </row>
    <row r="50" spans="1:15" ht="30" customHeight="1" x14ac:dyDescent="0.45">
      <c r="A50" s="13">
        <v>45</v>
      </c>
      <c r="B50" s="14" t="s">
        <v>134</v>
      </c>
      <c r="C50" s="15" t="s">
        <v>13</v>
      </c>
      <c r="D50" s="16" t="s">
        <v>135</v>
      </c>
      <c r="E50" s="16" t="s">
        <v>136</v>
      </c>
      <c r="F50" s="17" t="s">
        <v>137</v>
      </c>
      <c r="G50" s="18"/>
      <c r="H50" s="19">
        <v>71</v>
      </c>
      <c r="I50" s="20">
        <v>3589</v>
      </c>
      <c r="J50" s="21">
        <v>3589</v>
      </c>
      <c r="K50" s="22">
        <f t="shared" si="1"/>
        <v>0</v>
      </c>
      <c r="L50" s="62" t="s">
        <v>18</v>
      </c>
      <c r="M50" s="64" t="s">
        <v>295</v>
      </c>
      <c r="N50" s="64"/>
      <c r="O50" s="64"/>
    </row>
    <row r="51" spans="1:15" ht="30" customHeight="1" x14ac:dyDescent="0.45">
      <c r="A51" s="3">
        <v>46</v>
      </c>
      <c r="B51" s="4" t="s">
        <v>138</v>
      </c>
      <c r="C51" s="5" t="s">
        <v>13</v>
      </c>
      <c r="D51" s="6" t="s">
        <v>77</v>
      </c>
      <c r="E51" s="6" t="s">
        <v>139</v>
      </c>
      <c r="F51" s="7" t="s">
        <v>79</v>
      </c>
      <c r="G51" s="8" t="s">
        <v>140</v>
      </c>
      <c r="H51" s="9">
        <v>2</v>
      </c>
      <c r="I51" s="10">
        <f>820</f>
        <v>820</v>
      </c>
      <c r="J51" s="11">
        <v>820</v>
      </c>
      <c r="K51" s="12">
        <f t="shared" si="1"/>
        <v>0</v>
      </c>
      <c r="L51" s="62" t="s">
        <v>18</v>
      </c>
    </row>
    <row r="53" spans="1:15" ht="18" customHeight="1" x14ac:dyDescent="0.45">
      <c r="A53" s="76" t="s">
        <v>141</v>
      </c>
      <c r="B53" s="69"/>
      <c r="C53" s="69"/>
      <c r="D53" s="69"/>
      <c r="E53" s="69"/>
      <c r="F53" s="69"/>
      <c r="G53" s="69"/>
      <c r="H53" s="69"/>
      <c r="I53" s="69"/>
      <c r="J53" s="69"/>
      <c r="K53" s="70"/>
    </row>
    <row r="54" spans="1:15" ht="30" customHeight="1" x14ac:dyDescent="0.45">
      <c r="A54" s="3">
        <v>47</v>
      </c>
      <c r="B54" s="4" t="s">
        <v>142</v>
      </c>
      <c r="C54" s="5" t="s">
        <v>13</v>
      </c>
      <c r="D54" s="6" t="s">
        <v>143</v>
      </c>
      <c r="E54" s="6" t="s">
        <v>144</v>
      </c>
      <c r="F54" s="7" t="s">
        <v>145</v>
      </c>
      <c r="G54" s="8"/>
      <c r="H54" s="9">
        <v>82</v>
      </c>
      <c r="I54" s="10">
        <f>IF(H54="–","–",IFERROR(VLOOKUP(H54,Tabeller!$D$2:$E$23,2,TRUE()),1500))</f>
        <v>2280</v>
      </c>
      <c r="J54" s="11">
        <v>2280</v>
      </c>
      <c r="K54" s="12">
        <f t="shared" ref="K54:K63" si="2">IF(ISNUMBER(I54),IF(ISNUMBER(J54),J54-I54,""),"–")</f>
        <v>0</v>
      </c>
      <c r="L54" s="62" t="s">
        <v>18</v>
      </c>
      <c r="M54" s="66" t="s">
        <v>300</v>
      </c>
      <c r="N54" s="66"/>
      <c r="O54" s="66"/>
    </row>
    <row r="55" spans="1:15" ht="30" customHeight="1" x14ac:dyDescent="0.45">
      <c r="A55" s="13">
        <v>48</v>
      </c>
      <c r="B55" s="14" t="s">
        <v>146</v>
      </c>
      <c r="C55" s="15" t="s">
        <v>13</v>
      </c>
      <c r="D55" s="16" t="s">
        <v>143</v>
      </c>
      <c r="E55" s="16" t="s">
        <v>144</v>
      </c>
      <c r="F55" s="17" t="s">
        <v>145</v>
      </c>
      <c r="G55" s="18" t="s">
        <v>147</v>
      </c>
      <c r="H55" s="19">
        <v>302</v>
      </c>
      <c r="I55" s="20">
        <f>IF(H55="–","–",IFERROR(VLOOKUP(H55,Tabeller!$D$2:$E$23,2,TRUE()),1500))</f>
        <v>6100</v>
      </c>
      <c r="J55" s="21">
        <v>6100</v>
      </c>
      <c r="K55" s="22">
        <f t="shared" si="2"/>
        <v>0</v>
      </c>
      <c r="L55" s="62" t="s">
        <v>18</v>
      </c>
    </row>
    <row r="56" spans="1:15" ht="30" customHeight="1" x14ac:dyDescent="0.45">
      <c r="A56" s="3">
        <v>49</v>
      </c>
      <c r="B56" s="4" t="s">
        <v>148</v>
      </c>
      <c r="C56" s="5" t="s">
        <v>13</v>
      </c>
      <c r="D56" s="6" t="s">
        <v>143</v>
      </c>
      <c r="E56" s="6" t="s">
        <v>144</v>
      </c>
      <c r="F56" s="7" t="s">
        <v>145</v>
      </c>
      <c r="G56" s="8"/>
      <c r="H56" s="9">
        <v>340</v>
      </c>
      <c r="I56" s="10">
        <f>IF(H56="–","–",IFERROR(VLOOKUP(H56,Tabeller!$D$2:$E$23,2,TRUE()),1500))</f>
        <v>6940</v>
      </c>
      <c r="J56" s="11">
        <v>6940</v>
      </c>
      <c r="K56" s="12">
        <f t="shared" si="2"/>
        <v>0</v>
      </c>
      <c r="L56" s="62" t="s">
        <v>18</v>
      </c>
    </row>
    <row r="57" spans="1:15" ht="30" customHeight="1" x14ac:dyDescent="0.45">
      <c r="A57" s="13">
        <v>50</v>
      </c>
      <c r="B57" s="14" t="s">
        <v>149</v>
      </c>
      <c r="C57" s="15" t="s">
        <v>13</v>
      </c>
      <c r="D57" s="16" t="s">
        <v>150</v>
      </c>
      <c r="E57" s="16" t="s">
        <v>151</v>
      </c>
      <c r="F57" s="17" t="s">
        <v>152</v>
      </c>
      <c r="G57" s="18" t="s">
        <v>153</v>
      </c>
      <c r="H57" s="19">
        <v>94</v>
      </c>
      <c r="I57" s="20">
        <f>IF(H57="–","–",IFERROR(VLOOKUP(H57,Tabeller!$D$2:$E$23,2,TRUE()),1500)+199)</f>
        <v>3069</v>
      </c>
      <c r="J57" s="21">
        <v>3069</v>
      </c>
      <c r="K57" s="22">
        <f t="shared" si="2"/>
        <v>0</v>
      </c>
      <c r="L57" s="62" t="s">
        <v>18</v>
      </c>
    </row>
    <row r="58" spans="1:15" ht="30" customHeight="1" x14ac:dyDescent="0.45">
      <c r="A58" s="3">
        <v>51</v>
      </c>
      <c r="B58" s="4" t="s">
        <v>154</v>
      </c>
      <c r="C58" s="5" t="s">
        <v>13</v>
      </c>
      <c r="D58" s="6" t="s">
        <v>150</v>
      </c>
      <c r="E58" s="6" t="s">
        <v>155</v>
      </c>
      <c r="F58" s="7" t="s">
        <v>152</v>
      </c>
      <c r="G58" s="8" t="s">
        <v>156</v>
      </c>
      <c r="H58" s="9">
        <v>64</v>
      </c>
      <c r="I58" s="10">
        <f>IF(H58="–","–",IFERROR(VLOOKUP(H58,Tabeller!$D$2:$E$23,2,TRUE()),1500)+199)</f>
        <v>1699</v>
      </c>
      <c r="J58" s="11">
        <v>1699</v>
      </c>
      <c r="K58" s="12">
        <f t="shared" si="2"/>
        <v>0</v>
      </c>
      <c r="L58" s="62" t="s">
        <v>18</v>
      </c>
    </row>
    <row r="59" spans="1:15" ht="30" customHeight="1" x14ac:dyDescent="0.45">
      <c r="A59" s="13">
        <v>52</v>
      </c>
      <c r="B59" s="14" t="s">
        <v>157</v>
      </c>
      <c r="C59" s="15" t="s">
        <v>13</v>
      </c>
      <c r="D59" s="16" t="s">
        <v>150</v>
      </c>
      <c r="E59" s="16" t="s">
        <v>158</v>
      </c>
      <c r="F59" s="17" t="s">
        <v>152</v>
      </c>
      <c r="G59" s="18" t="s">
        <v>159</v>
      </c>
      <c r="H59" s="19">
        <v>72</v>
      </c>
      <c r="I59" s="20">
        <f>IF(H59="–","–",IFERROR(VLOOKUP(H59,Tabeller!$D$2:$E$23,2,TRUE()),1500)+199)</f>
        <v>2479</v>
      </c>
      <c r="J59" s="21">
        <v>2479</v>
      </c>
      <c r="K59" s="22">
        <f t="shared" si="2"/>
        <v>0</v>
      </c>
      <c r="L59" s="62" t="s">
        <v>18</v>
      </c>
    </row>
    <row r="60" spans="1:15" ht="30" customHeight="1" x14ac:dyDescent="0.45">
      <c r="A60" s="3">
        <v>53</v>
      </c>
      <c r="B60" s="4" t="s">
        <v>160</v>
      </c>
      <c r="C60" s="5" t="s">
        <v>13</v>
      </c>
      <c r="D60" s="6" t="s">
        <v>150</v>
      </c>
      <c r="E60" s="6" t="s">
        <v>161</v>
      </c>
      <c r="F60" s="7" t="s">
        <v>152</v>
      </c>
      <c r="G60" s="8" t="s">
        <v>162</v>
      </c>
      <c r="H60" s="9">
        <v>72</v>
      </c>
      <c r="I60" s="10">
        <f>IF(H60="–","–",IFERROR(VLOOKUP(H60,Tabeller!$D$2:$E$23,2,TRUE()),1500)+199)</f>
        <v>2479</v>
      </c>
      <c r="J60" s="11">
        <v>2479</v>
      </c>
      <c r="K60" s="12">
        <f t="shared" si="2"/>
        <v>0</v>
      </c>
      <c r="L60" s="62" t="s">
        <v>18</v>
      </c>
    </row>
    <row r="61" spans="1:15" ht="30" customHeight="1" x14ac:dyDescent="0.45">
      <c r="A61" s="13">
        <v>54</v>
      </c>
      <c r="B61" s="14" t="s">
        <v>163</v>
      </c>
      <c r="C61" s="15" t="s">
        <v>13</v>
      </c>
      <c r="D61" s="16" t="s">
        <v>150</v>
      </c>
      <c r="E61" s="16" t="s">
        <v>164</v>
      </c>
      <c r="F61" s="17" t="s">
        <v>152</v>
      </c>
      <c r="G61" s="18" t="s">
        <v>165</v>
      </c>
      <c r="H61" s="19">
        <v>96</v>
      </c>
      <c r="I61" s="20">
        <f>IF(H61="–","–",IFERROR(VLOOKUP(H61,Tabeller!$D$2:$E$23,2,TRUE()),1500)+199)</f>
        <v>3069</v>
      </c>
      <c r="J61" s="21">
        <v>3069</v>
      </c>
      <c r="K61" s="22">
        <f t="shared" si="2"/>
        <v>0</v>
      </c>
      <c r="L61" s="62" t="s">
        <v>18</v>
      </c>
    </row>
    <row r="62" spans="1:15" ht="42" customHeight="1" x14ac:dyDescent="0.45">
      <c r="A62" s="13">
        <v>55</v>
      </c>
      <c r="B62" s="14" t="s">
        <v>166</v>
      </c>
      <c r="C62" s="15" t="s">
        <v>13</v>
      </c>
      <c r="D62" s="16" t="s">
        <v>143</v>
      </c>
      <c r="E62" s="16" t="s">
        <v>144</v>
      </c>
      <c r="F62" s="17" t="s">
        <v>145</v>
      </c>
      <c r="G62" s="18" t="s">
        <v>167</v>
      </c>
      <c r="H62" s="19">
        <v>116</v>
      </c>
      <c r="I62" s="20">
        <f>IF(H62="–","–",IFERROR(VLOOKUP(H62,Tabeller!$D$2:$E$23,2,TRUE()),1500))</f>
        <v>3260</v>
      </c>
      <c r="J62" s="21">
        <v>3260</v>
      </c>
      <c r="K62" s="32">
        <f t="shared" si="2"/>
        <v>0</v>
      </c>
      <c r="L62" s="62" t="s">
        <v>18</v>
      </c>
      <c r="M62" s="66" t="s">
        <v>293</v>
      </c>
      <c r="N62" s="66"/>
      <c r="O62" s="66"/>
    </row>
    <row r="63" spans="1:15" ht="30" customHeight="1" x14ac:dyDescent="0.45">
      <c r="A63" s="13">
        <v>56</v>
      </c>
      <c r="B63" s="14" t="s">
        <v>168</v>
      </c>
      <c r="C63" s="15" t="s">
        <v>13</v>
      </c>
      <c r="D63" s="16" t="s">
        <v>143</v>
      </c>
      <c r="E63" s="16" t="s">
        <v>144</v>
      </c>
      <c r="F63" s="17" t="s">
        <v>145</v>
      </c>
      <c r="G63" s="18"/>
      <c r="H63" s="19">
        <v>100</v>
      </c>
      <c r="I63" s="20">
        <f>IF(H63="–","–",IFERROR(VLOOKUP(H63,Tabeller!$D$2:$E$23,2,TRUE()),1500))</f>
        <v>2870</v>
      </c>
      <c r="J63" s="21">
        <v>2870</v>
      </c>
      <c r="K63" s="22">
        <f t="shared" si="2"/>
        <v>0</v>
      </c>
      <c r="L63" s="62" t="s">
        <v>18</v>
      </c>
      <c r="M63" s="66" t="s">
        <v>294</v>
      </c>
      <c r="N63" s="66"/>
      <c r="O63" s="66"/>
    </row>
    <row r="65" spans="1:17" ht="18" customHeight="1" x14ac:dyDescent="0.45">
      <c r="A65" s="76" t="s">
        <v>169</v>
      </c>
      <c r="B65" s="69"/>
      <c r="C65" s="69"/>
      <c r="D65" s="69"/>
      <c r="E65" s="69"/>
      <c r="F65" s="69"/>
      <c r="G65" s="69"/>
      <c r="H65" s="69"/>
      <c r="I65" s="69"/>
      <c r="J65" s="69"/>
      <c r="K65" s="70"/>
    </row>
    <row r="66" spans="1:17" ht="30" customHeight="1" x14ac:dyDescent="0.45">
      <c r="A66" s="3">
        <v>57</v>
      </c>
      <c r="B66" s="4" t="s">
        <v>170</v>
      </c>
      <c r="C66" s="5" t="s">
        <v>13</v>
      </c>
      <c r="D66" s="6" t="s">
        <v>171</v>
      </c>
      <c r="E66" s="6" t="s">
        <v>172</v>
      </c>
      <c r="F66" s="7" t="s">
        <v>26</v>
      </c>
      <c r="G66" s="8" t="s">
        <v>173</v>
      </c>
      <c r="H66" s="9">
        <v>90</v>
      </c>
      <c r="I66" s="10">
        <f>IF(H66="–","–",IF(H66&lt;=99,3490,3490+(H66-99)*32))</f>
        <v>3490</v>
      </c>
      <c r="J66" s="11">
        <v>3490</v>
      </c>
      <c r="K66" s="12">
        <f t="shared" ref="K66:K73" si="3">IF(ISNUMBER(I66),IF(ISNUMBER(J66),J66-I66,""),"–")</f>
        <v>0</v>
      </c>
      <c r="L66" s="62" t="s">
        <v>18</v>
      </c>
    </row>
    <row r="67" spans="1:17" ht="30" customHeight="1" x14ac:dyDescent="0.45">
      <c r="A67" s="13">
        <v>58</v>
      </c>
      <c r="B67" s="14" t="s">
        <v>174</v>
      </c>
      <c r="C67" s="15" t="s">
        <v>13</v>
      </c>
      <c r="D67" s="16" t="s">
        <v>175</v>
      </c>
      <c r="E67" s="16" t="s">
        <v>176</v>
      </c>
      <c r="F67" s="17" t="s">
        <v>177</v>
      </c>
      <c r="G67" s="18" t="s">
        <v>178</v>
      </c>
      <c r="H67" s="19">
        <v>394</v>
      </c>
      <c r="I67" s="20">
        <f>15000</f>
        <v>15000</v>
      </c>
      <c r="J67" s="21">
        <v>15000</v>
      </c>
      <c r="K67" s="22">
        <f t="shared" si="3"/>
        <v>0</v>
      </c>
      <c r="L67" s="62" t="s">
        <v>18</v>
      </c>
      <c r="M67" s="73" t="s">
        <v>279</v>
      </c>
      <c r="N67" s="74"/>
      <c r="O67" s="74"/>
      <c r="P67" s="74"/>
      <c r="Q67" s="74"/>
    </row>
    <row r="68" spans="1:17" ht="30" customHeight="1" x14ac:dyDescent="0.45">
      <c r="A68" s="3">
        <v>59</v>
      </c>
      <c r="B68" s="4" t="s">
        <v>179</v>
      </c>
      <c r="C68" s="5" t="s">
        <v>13</v>
      </c>
      <c r="D68" s="6" t="s">
        <v>180</v>
      </c>
      <c r="E68" s="6" t="s">
        <v>181</v>
      </c>
      <c r="F68" s="7" t="s">
        <v>182</v>
      </c>
      <c r="G68" s="8" t="s">
        <v>183</v>
      </c>
      <c r="H68" s="9">
        <v>253</v>
      </c>
      <c r="I68" s="10">
        <v>5315</v>
      </c>
      <c r="J68" s="11">
        <v>5315</v>
      </c>
      <c r="K68" s="12">
        <f t="shared" si="3"/>
        <v>0</v>
      </c>
      <c r="L68" s="62" t="s">
        <v>18</v>
      </c>
    </row>
    <row r="69" spans="1:17" ht="30" customHeight="1" x14ac:dyDescent="0.45">
      <c r="A69" s="13">
        <v>60</v>
      </c>
      <c r="B69" s="14" t="s">
        <v>184</v>
      </c>
      <c r="C69" s="15" t="s">
        <v>13</v>
      </c>
      <c r="D69" s="16" t="s">
        <v>185</v>
      </c>
      <c r="E69" s="16" t="s">
        <v>186</v>
      </c>
      <c r="F69" s="17" t="s">
        <v>137</v>
      </c>
      <c r="G69" s="18"/>
      <c r="H69" s="19">
        <v>2</v>
      </c>
      <c r="I69" s="20">
        <f>IF(H69="–","–",199+IFERROR(VLOOKUP(H69,Tabeller!$J$2:$K$8,2,TRUE()),1330))</f>
        <v>1529</v>
      </c>
      <c r="J69" s="21">
        <v>1529</v>
      </c>
      <c r="K69" s="22">
        <f t="shared" si="3"/>
        <v>0</v>
      </c>
      <c r="L69" s="62" t="s">
        <v>18</v>
      </c>
    </row>
    <row r="70" spans="1:17" ht="30" customHeight="1" x14ac:dyDescent="0.45">
      <c r="A70" s="3">
        <v>61</v>
      </c>
      <c r="B70" s="4" t="s">
        <v>187</v>
      </c>
      <c r="C70" s="5" t="s">
        <v>13</v>
      </c>
      <c r="D70" s="6" t="s">
        <v>171</v>
      </c>
      <c r="E70" s="6" t="s">
        <v>188</v>
      </c>
      <c r="F70" s="7" t="s">
        <v>189</v>
      </c>
      <c r="G70" s="8"/>
      <c r="H70" s="9">
        <v>46</v>
      </c>
      <c r="I70" s="10">
        <f>IF(H70="–","–",IFERROR(VLOOKUP(H70,Tabeller!$M$2:$N$6,2,TRUE()),2580))</f>
        <v>2580</v>
      </c>
      <c r="J70" s="11">
        <v>2580</v>
      </c>
      <c r="K70" s="12">
        <f t="shared" si="3"/>
        <v>0</v>
      </c>
      <c r="L70" s="62" t="s">
        <v>18</v>
      </c>
    </row>
    <row r="71" spans="1:17" ht="30" customHeight="1" x14ac:dyDescent="0.45">
      <c r="A71" s="13">
        <v>62</v>
      </c>
      <c r="B71" s="14" t="s">
        <v>190</v>
      </c>
      <c r="C71" s="15" t="s">
        <v>13</v>
      </c>
      <c r="D71" s="16" t="s">
        <v>171</v>
      </c>
      <c r="E71" s="16" t="s">
        <v>191</v>
      </c>
      <c r="F71" s="17" t="s">
        <v>189</v>
      </c>
      <c r="G71" s="18"/>
      <c r="H71" s="19">
        <v>24</v>
      </c>
      <c r="I71" s="20">
        <f>IF(H71="–","–",IFERROR(VLOOKUP(H71,Tabeller!$P$2:$Q$5,2,TRUE()),7410))</f>
        <v>7410</v>
      </c>
      <c r="J71" s="21">
        <v>7410</v>
      </c>
      <c r="K71" s="22">
        <f t="shared" si="3"/>
        <v>0</v>
      </c>
      <c r="L71" s="62" t="s">
        <v>18</v>
      </c>
    </row>
    <row r="72" spans="1:17" ht="30" customHeight="1" x14ac:dyDescent="0.45">
      <c r="A72" s="3">
        <v>63</v>
      </c>
      <c r="B72" s="4" t="s">
        <v>192</v>
      </c>
      <c r="C72" s="5" t="s">
        <v>13</v>
      </c>
      <c r="D72" s="6" t="s">
        <v>193</v>
      </c>
      <c r="E72" s="6" t="s">
        <v>194</v>
      </c>
      <c r="F72" s="7" t="s">
        <v>189</v>
      </c>
      <c r="G72" s="8" t="s">
        <v>195</v>
      </c>
      <c r="H72" s="9">
        <v>337</v>
      </c>
      <c r="I72" s="10">
        <f>IF(H72="–","–",4640+MAX(0,H72-299)*42)</f>
        <v>6236</v>
      </c>
      <c r="J72" s="11">
        <v>6236</v>
      </c>
      <c r="K72" s="12">
        <f t="shared" si="3"/>
        <v>0</v>
      </c>
      <c r="L72" s="62" t="s">
        <v>18</v>
      </c>
      <c r="M72" s="64" t="s">
        <v>284</v>
      </c>
      <c r="N72" s="64"/>
      <c r="O72" s="64"/>
    </row>
    <row r="73" spans="1:17" ht="30" customHeight="1" x14ac:dyDescent="0.45">
      <c r="A73" s="13">
        <v>64</v>
      </c>
      <c r="B73" s="61" t="s">
        <v>196</v>
      </c>
      <c r="C73" s="15" t="s">
        <v>13</v>
      </c>
      <c r="D73" s="16" t="s">
        <v>197</v>
      </c>
      <c r="E73" s="16" t="s">
        <v>198</v>
      </c>
      <c r="F73" s="17" t="s">
        <v>199</v>
      </c>
      <c r="G73" s="18" t="s">
        <v>200</v>
      </c>
      <c r="H73" s="19">
        <v>18</v>
      </c>
      <c r="I73" s="20">
        <f>1125</f>
        <v>1125</v>
      </c>
      <c r="J73" s="21">
        <v>1125</v>
      </c>
      <c r="K73" s="22">
        <f t="shared" si="3"/>
        <v>0</v>
      </c>
      <c r="L73" s="62" t="s">
        <v>18</v>
      </c>
    </row>
    <row r="75" spans="1:17" ht="18" customHeight="1" x14ac:dyDescent="0.45">
      <c r="A75" s="76" t="s">
        <v>201</v>
      </c>
      <c r="B75" s="69"/>
      <c r="C75" s="69"/>
      <c r="D75" s="69"/>
      <c r="E75" s="69"/>
      <c r="F75" s="69"/>
      <c r="G75" s="69"/>
      <c r="H75" s="69"/>
      <c r="I75" s="69"/>
      <c r="J75" s="69"/>
      <c r="K75" s="70"/>
    </row>
    <row r="76" spans="1:17" ht="30" customHeight="1" x14ac:dyDescent="0.45">
      <c r="A76" s="3">
        <v>65</v>
      </c>
      <c r="B76" s="4" t="s">
        <v>202</v>
      </c>
      <c r="C76" s="5" t="s">
        <v>13</v>
      </c>
      <c r="D76" s="6" t="s">
        <v>203</v>
      </c>
      <c r="E76" s="6" t="s">
        <v>204</v>
      </c>
      <c r="F76" s="7" t="s">
        <v>205</v>
      </c>
      <c r="G76" s="8" t="s">
        <v>206</v>
      </c>
      <c r="H76" s="9">
        <v>66</v>
      </c>
      <c r="I76" s="10">
        <f>5140+MAX(0,H76-200)*36</f>
        <v>5140</v>
      </c>
      <c r="J76" s="11">
        <v>0</v>
      </c>
      <c r="K76" s="12">
        <f>IF(ISNUMBER(I76),IF(ISNUMBER(J76),J76-I76,""),"–")</f>
        <v>-5140</v>
      </c>
      <c r="L76" s="62" t="s">
        <v>18</v>
      </c>
    </row>
    <row r="77" spans="1:17" ht="30" customHeight="1" x14ac:dyDescent="0.45">
      <c r="A77" s="13">
        <v>66</v>
      </c>
      <c r="B77" s="14" t="s">
        <v>207</v>
      </c>
      <c r="C77" s="15" t="s">
        <v>13</v>
      </c>
      <c r="D77" s="16" t="s">
        <v>208</v>
      </c>
      <c r="E77" s="16" t="s">
        <v>209</v>
      </c>
      <c r="F77" s="17" t="s">
        <v>210</v>
      </c>
      <c r="G77" s="33" t="s">
        <v>211</v>
      </c>
      <c r="H77" s="19">
        <v>16</v>
      </c>
      <c r="I77" s="20"/>
      <c r="J77" s="21">
        <v>0</v>
      </c>
      <c r="K77" s="12" t="str">
        <f>IF(ISNUMBER(I77),IF(ISNUMBER(J77),J77-I77,""),"–")</f>
        <v>–</v>
      </c>
      <c r="L77" s="63"/>
    </row>
    <row r="78" spans="1:17" ht="30" customHeight="1" x14ac:dyDescent="0.45">
      <c r="A78" s="3">
        <v>67</v>
      </c>
      <c r="B78" s="4" t="s">
        <v>212</v>
      </c>
      <c r="C78" s="5" t="s">
        <v>13</v>
      </c>
      <c r="D78" s="6" t="s">
        <v>203</v>
      </c>
      <c r="E78" s="6" t="s">
        <v>213</v>
      </c>
      <c r="F78" s="7" t="s">
        <v>205</v>
      </c>
      <c r="G78" s="8" t="s">
        <v>214</v>
      </c>
      <c r="H78" s="9">
        <v>63</v>
      </c>
      <c r="I78" s="10"/>
      <c r="J78" s="11">
        <v>0</v>
      </c>
      <c r="K78" s="12" t="str">
        <f>IF(ISNUMBER(I78),IF(ISNUMBER(J78),J78-I78,""),"–")</f>
        <v>–</v>
      </c>
      <c r="L78" s="63"/>
    </row>
    <row r="80" spans="1:17" ht="18" customHeight="1" x14ac:dyDescent="0.45">
      <c r="A80" s="76" t="s">
        <v>215</v>
      </c>
      <c r="B80" s="69"/>
      <c r="C80" s="69"/>
      <c r="D80" s="69"/>
      <c r="E80" s="69"/>
      <c r="F80" s="69"/>
      <c r="G80" s="69"/>
      <c r="H80" s="69"/>
      <c r="I80" s="69"/>
      <c r="J80" s="69"/>
      <c r="K80" s="70"/>
    </row>
    <row r="81" spans="1:17" ht="30" customHeight="1" x14ac:dyDescent="0.45">
      <c r="A81" s="3">
        <v>68</v>
      </c>
      <c r="B81" s="4" t="s">
        <v>216</v>
      </c>
      <c r="C81" s="5" t="s">
        <v>13</v>
      </c>
      <c r="D81" s="6" t="s">
        <v>217</v>
      </c>
      <c r="E81" s="6" t="s">
        <v>218</v>
      </c>
      <c r="F81" s="7" t="s">
        <v>219</v>
      </c>
      <c r="G81" s="8" t="s">
        <v>220</v>
      </c>
      <c r="H81" s="9">
        <v>16</v>
      </c>
      <c r="I81" s="10">
        <v>0</v>
      </c>
      <c r="J81" s="11">
        <v>1700</v>
      </c>
      <c r="K81" s="12">
        <f>IF(ISNUMBER(I81),IF(ISNUMBER(J81),J81-I81,""),"–")</f>
        <v>1700</v>
      </c>
      <c r="L81" s="62"/>
    </row>
    <row r="83" spans="1:17" ht="18" customHeight="1" x14ac:dyDescent="0.45">
      <c r="A83" s="76" t="s">
        <v>221</v>
      </c>
      <c r="B83" s="69"/>
      <c r="C83" s="69"/>
      <c r="D83" s="69"/>
      <c r="E83" s="69"/>
      <c r="F83" s="69"/>
      <c r="G83" s="69"/>
      <c r="H83" s="69"/>
      <c r="I83" s="69"/>
      <c r="J83" s="69"/>
      <c r="K83" s="70"/>
    </row>
    <row r="84" spans="1:17" ht="30" customHeight="1" x14ac:dyDescent="0.45">
      <c r="A84" s="34">
        <v>69</v>
      </c>
      <c r="B84" s="35" t="s">
        <v>222</v>
      </c>
      <c r="C84" s="36" t="s">
        <v>13</v>
      </c>
      <c r="D84" s="37" t="s">
        <v>77</v>
      </c>
      <c r="E84" s="37" t="s">
        <v>223</v>
      </c>
      <c r="F84" s="38" t="s">
        <v>93</v>
      </c>
      <c r="G84" s="39"/>
      <c r="H84" s="40">
        <v>21</v>
      </c>
      <c r="I84" s="41">
        <f>IF(H84="–","–",1131+H84*30)</f>
        <v>1761</v>
      </c>
      <c r="J84" s="42">
        <v>1761</v>
      </c>
      <c r="K84" s="43">
        <f t="shared" ref="K84:K93" si="4">IF(ISNUMBER(I84),IF(ISNUMBER(J84),J84-I84,""),"–")</f>
        <v>0</v>
      </c>
      <c r="L84" s="62" t="s">
        <v>18</v>
      </c>
      <c r="M84" s="64" t="s">
        <v>286</v>
      </c>
      <c r="N84" s="64"/>
      <c r="O84" s="64"/>
    </row>
    <row r="85" spans="1:17" ht="30" customHeight="1" x14ac:dyDescent="0.45">
      <c r="A85" s="34">
        <v>70</v>
      </c>
      <c r="B85" s="44" t="s">
        <v>224</v>
      </c>
      <c r="C85" s="36" t="s">
        <v>13</v>
      </c>
      <c r="D85" s="37" t="s">
        <v>82</v>
      </c>
      <c r="E85" s="37" t="s">
        <v>225</v>
      </c>
      <c r="F85" s="38" t="s">
        <v>226</v>
      </c>
      <c r="G85" s="39"/>
      <c r="H85" s="45">
        <v>41</v>
      </c>
      <c r="I85" s="41">
        <f>IF(H85="–",3292,3292+MAX(0,H85-100)*28)</f>
        <v>3292</v>
      </c>
      <c r="J85" s="42">
        <v>4840</v>
      </c>
      <c r="K85" s="43">
        <f t="shared" si="4"/>
        <v>1548</v>
      </c>
      <c r="L85" s="62"/>
      <c r="M85" t="s">
        <v>227</v>
      </c>
    </row>
    <row r="86" spans="1:17" ht="30" customHeight="1" x14ac:dyDescent="0.45">
      <c r="A86" s="34">
        <v>71</v>
      </c>
      <c r="B86" s="35" t="s">
        <v>228</v>
      </c>
      <c r="C86" s="36" t="s">
        <v>13</v>
      </c>
      <c r="D86" s="37" t="s">
        <v>77</v>
      </c>
      <c r="E86" s="37" t="s">
        <v>229</v>
      </c>
      <c r="F86" s="38" t="s">
        <v>93</v>
      </c>
      <c r="G86" s="39"/>
      <c r="H86" s="40">
        <v>0</v>
      </c>
      <c r="I86" s="41">
        <f>IF(H86="–","–",873+H86*30)</f>
        <v>873</v>
      </c>
      <c r="J86" s="42">
        <v>873</v>
      </c>
      <c r="K86" s="43">
        <f t="shared" si="4"/>
        <v>0</v>
      </c>
      <c r="L86" s="62" t="s">
        <v>18</v>
      </c>
      <c r="M86" s="73"/>
      <c r="N86" s="74"/>
      <c r="O86" s="74"/>
      <c r="P86" s="74"/>
      <c r="Q86" s="74"/>
    </row>
    <row r="87" spans="1:17" ht="30" customHeight="1" x14ac:dyDescent="0.45">
      <c r="A87" s="34">
        <v>72</v>
      </c>
      <c r="B87" s="35" t="s">
        <v>230</v>
      </c>
      <c r="C87" s="36" t="s">
        <v>13</v>
      </c>
      <c r="D87" s="37" t="s">
        <v>231</v>
      </c>
      <c r="E87" s="46" t="s">
        <v>232</v>
      </c>
      <c r="F87" s="38" t="s">
        <v>233</v>
      </c>
      <c r="G87" s="39"/>
      <c r="H87" s="40">
        <v>560</v>
      </c>
      <c r="I87" s="41">
        <f>IF(H87="–","–",566+21*114+H87*30)</f>
        <v>19760</v>
      </c>
      <c r="J87" s="42">
        <v>19760</v>
      </c>
      <c r="K87" s="43">
        <f t="shared" si="4"/>
        <v>0</v>
      </c>
      <c r="L87" s="62" t="s">
        <v>18</v>
      </c>
    </row>
    <row r="88" spans="1:17" ht="30" customHeight="1" x14ac:dyDescent="0.45">
      <c r="A88" s="34">
        <v>73</v>
      </c>
      <c r="B88" s="35" t="s">
        <v>234</v>
      </c>
      <c r="C88" s="36" t="s">
        <v>13</v>
      </c>
      <c r="D88" s="37" t="s">
        <v>231</v>
      </c>
      <c r="E88" s="46" t="s">
        <v>235</v>
      </c>
      <c r="F88" s="38" t="s">
        <v>233</v>
      </c>
      <c r="G88" s="39"/>
      <c r="H88" s="40">
        <v>29</v>
      </c>
      <c r="I88" s="41">
        <f>IF(H88="–","–",566+25*56+H88*28)</f>
        <v>2778</v>
      </c>
      <c r="J88" s="42">
        <v>2778</v>
      </c>
      <c r="K88" s="43">
        <f t="shared" si="4"/>
        <v>0</v>
      </c>
      <c r="L88" s="62" t="s">
        <v>18</v>
      </c>
    </row>
    <row r="89" spans="1:17" ht="30" customHeight="1" x14ac:dyDescent="0.45">
      <c r="A89" s="34">
        <v>74</v>
      </c>
      <c r="B89" s="35" t="s">
        <v>236</v>
      </c>
      <c r="C89" s="36" t="s">
        <v>13</v>
      </c>
      <c r="D89" s="37" t="s">
        <v>77</v>
      </c>
      <c r="E89" s="37" t="s">
        <v>237</v>
      </c>
      <c r="F89" s="38" t="s">
        <v>93</v>
      </c>
      <c r="G89" s="39"/>
      <c r="H89" s="40">
        <v>26</v>
      </c>
      <c r="I89" s="41">
        <f>IF(H89="–","–",660+H89*30)</f>
        <v>1440</v>
      </c>
      <c r="J89" s="42">
        <v>1440</v>
      </c>
      <c r="K89" s="43">
        <f t="shared" si="4"/>
        <v>0</v>
      </c>
      <c r="L89" s="62" t="s">
        <v>18</v>
      </c>
      <c r="M89" s="66" t="s">
        <v>283</v>
      </c>
      <c r="N89" s="66"/>
      <c r="O89" s="66"/>
      <c r="P89" s="64"/>
    </row>
    <row r="90" spans="1:17" ht="30" customHeight="1" x14ac:dyDescent="0.45">
      <c r="A90" s="34">
        <v>75</v>
      </c>
      <c r="B90" s="35" t="s">
        <v>238</v>
      </c>
      <c r="C90" s="36" t="s">
        <v>13</v>
      </c>
      <c r="D90" s="37" t="s">
        <v>77</v>
      </c>
      <c r="E90" s="37" t="s">
        <v>239</v>
      </c>
      <c r="F90" s="38" t="s">
        <v>240</v>
      </c>
      <c r="G90" s="39"/>
      <c r="H90" s="40">
        <v>30</v>
      </c>
      <c r="I90" s="41">
        <v>1664</v>
      </c>
      <c r="J90" s="42">
        <v>1664</v>
      </c>
      <c r="K90" s="43">
        <f t="shared" si="4"/>
        <v>0</v>
      </c>
      <c r="L90" s="62" t="s">
        <v>18</v>
      </c>
      <c r="M90" s="71" t="s">
        <v>287</v>
      </c>
      <c r="N90" s="72"/>
      <c r="O90" s="72"/>
      <c r="P90" s="72"/>
    </row>
    <row r="91" spans="1:17" ht="30" customHeight="1" x14ac:dyDescent="0.45">
      <c r="A91" s="34">
        <v>76</v>
      </c>
      <c r="B91" s="35" t="s">
        <v>241</v>
      </c>
      <c r="C91" s="36" t="s">
        <v>13</v>
      </c>
      <c r="D91" s="37" t="s">
        <v>242</v>
      </c>
      <c r="E91" s="37" t="s">
        <v>243</v>
      </c>
      <c r="F91" s="38" t="s">
        <v>121</v>
      </c>
      <c r="G91" s="39"/>
      <c r="H91" s="40">
        <v>120</v>
      </c>
      <c r="I91" s="41">
        <f>IF(H91="–",6129,6129+MAX(0,H91-149)*23)</f>
        <v>6129</v>
      </c>
      <c r="J91" s="42">
        <v>6129</v>
      </c>
      <c r="K91" s="43">
        <f t="shared" si="4"/>
        <v>0</v>
      </c>
      <c r="L91" s="62" t="s">
        <v>18</v>
      </c>
    </row>
    <row r="92" spans="1:17" ht="30" customHeight="1" x14ac:dyDescent="0.45">
      <c r="A92" s="34">
        <v>77</v>
      </c>
      <c r="B92" s="35" t="s">
        <v>244</v>
      </c>
      <c r="C92" s="36" t="s">
        <v>13</v>
      </c>
      <c r="D92" s="37" t="s">
        <v>231</v>
      </c>
      <c r="E92" s="37" t="s">
        <v>245</v>
      </c>
      <c r="F92" s="38" t="s">
        <v>233</v>
      </c>
      <c r="G92" s="39"/>
      <c r="H92" s="40">
        <v>84</v>
      </c>
      <c r="I92" s="41">
        <f>IF(H92="–","–",640+12*118+H92*30)</f>
        <v>4576</v>
      </c>
      <c r="J92" s="42">
        <v>4576</v>
      </c>
      <c r="K92" s="43">
        <f t="shared" si="4"/>
        <v>0</v>
      </c>
      <c r="L92" s="62" t="s">
        <v>18</v>
      </c>
      <c r="M92" s="64" t="s">
        <v>296</v>
      </c>
      <c r="N92" s="64"/>
      <c r="O92" s="64"/>
    </row>
    <row r="93" spans="1:17" ht="30" customHeight="1" x14ac:dyDescent="0.45">
      <c r="A93" s="34">
        <v>78</v>
      </c>
      <c r="B93" s="65" t="s">
        <v>246</v>
      </c>
      <c r="C93" s="59" t="s">
        <v>247</v>
      </c>
      <c r="D93" s="58" t="s">
        <v>248</v>
      </c>
      <c r="E93" s="58" t="s">
        <v>249</v>
      </c>
      <c r="F93" s="38" t="s">
        <v>250</v>
      </c>
      <c r="G93" s="57" t="s">
        <v>251</v>
      </c>
      <c r="H93" s="40">
        <v>25</v>
      </c>
      <c r="I93" s="41">
        <f>2700</f>
        <v>2700</v>
      </c>
      <c r="J93" s="42">
        <v>2700</v>
      </c>
      <c r="K93" s="43">
        <f t="shared" si="4"/>
        <v>0</v>
      </c>
      <c r="L93" s="62" t="s">
        <v>18</v>
      </c>
      <c r="M93" s="60" t="s">
        <v>252</v>
      </c>
    </row>
    <row r="94" spans="1:17" ht="18" customHeight="1" x14ac:dyDescent="0.45"/>
    <row r="95" spans="1:17" ht="30" customHeight="1" x14ac:dyDescent="0.45">
      <c r="A95" s="76" t="s">
        <v>253</v>
      </c>
      <c r="B95" s="69"/>
      <c r="C95" s="69"/>
      <c r="D95" s="69"/>
      <c r="E95" s="69"/>
      <c r="F95" s="69"/>
      <c r="G95" s="69"/>
      <c r="H95" s="69"/>
      <c r="I95" s="69"/>
      <c r="J95" s="69"/>
      <c r="K95" s="70"/>
    </row>
    <row r="96" spans="1:17" ht="30" customHeight="1" x14ac:dyDescent="0.45">
      <c r="A96" s="47"/>
      <c r="B96" s="48" t="s">
        <v>254</v>
      </c>
      <c r="C96" s="49" t="s">
        <v>255</v>
      </c>
      <c r="D96" s="50" t="s">
        <v>256</v>
      </c>
      <c r="E96" s="50" t="s">
        <v>256</v>
      </c>
      <c r="F96" s="51" t="s">
        <v>256</v>
      </c>
      <c r="G96" s="52" t="s">
        <v>257</v>
      </c>
      <c r="H96" s="53" t="s">
        <v>256</v>
      </c>
      <c r="I96" s="54" t="s">
        <v>256</v>
      </c>
      <c r="J96" s="49" t="s">
        <v>258</v>
      </c>
      <c r="K96" s="53" t="s">
        <v>256</v>
      </c>
    </row>
    <row r="97" spans="1:11" ht="30" customHeight="1" x14ac:dyDescent="0.45">
      <c r="A97" s="47"/>
      <c r="B97" s="48" t="s">
        <v>259</v>
      </c>
      <c r="C97" s="49" t="s">
        <v>255</v>
      </c>
      <c r="D97" s="50" t="s">
        <v>256</v>
      </c>
      <c r="E97" s="50" t="s">
        <v>256</v>
      </c>
      <c r="F97" s="51" t="s">
        <v>256</v>
      </c>
      <c r="G97" s="52"/>
      <c r="H97" s="53" t="s">
        <v>256</v>
      </c>
      <c r="I97" s="54" t="s">
        <v>256</v>
      </c>
      <c r="J97" s="49" t="s">
        <v>258</v>
      </c>
      <c r="K97" s="53" t="s">
        <v>256</v>
      </c>
    </row>
    <row r="98" spans="1:11" ht="30" customHeight="1" x14ac:dyDescent="0.45">
      <c r="A98" s="47"/>
      <c r="B98" s="48" t="s">
        <v>260</v>
      </c>
      <c r="C98" s="49" t="s">
        <v>255</v>
      </c>
      <c r="D98" s="50" t="s">
        <v>256</v>
      </c>
      <c r="E98" s="50" t="s">
        <v>256</v>
      </c>
      <c r="F98" s="51" t="s">
        <v>256</v>
      </c>
      <c r="G98" s="52"/>
      <c r="H98" s="53" t="s">
        <v>256</v>
      </c>
      <c r="I98" s="54" t="s">
        <v>256</v>
      </c>
      <c r="J98" s="49" t="s">
        <v>258</v>
      </c>
      <c r="K98" s="53" t="s">
        <v>256</v>
      </c>
    </row>
    <row r="99" spans="1:11" ht="30" customHeight="1" x14ac:dyDescent="0.45">
      <c r="A99" s="47"/>
      <c r="B99" s="48" t="s">
        <v>261</v>
      </c>
      <c r="C99" s="49" t="s">
        <v>255</v>
      </c>
      <c r="D99" s="50" t="s">
        <v>256</v>
      </c>
      <c r="E99" s="50" t="s">
        <v>256</v>
      </c>
      <c r="F99" s="51" t="s">
        <v>256</v>
      </c>
      <c r="G99" s="52"/>
      <c r="H99" s="53" t="s">
        <v>256</v>
      </c>
      <c r="I99" s="54" t="s">
        <v>256</v>
      </c>
      <c r="J99" s="49" t="s">
        <v>258</v>
      </c>
      <c r="K99" s="53" t="s">
        <v>256</v>
      </c>
    </row>
    <row r="100" spans="1:11" ht="14.25" customHeight="1" x14ac:dyDescent="0.45">
      <c r="A100" s="47"/>
      <c r="B100" s="48" t="s">
        <v>262</v>
      </c>
      <c r="C100" s="49" t="s">
        <v>255</v>
      </c>
      <c r="D100" s="50" t="s">
        <v>256</v>
      </c>
      <c r="E100" s="50" t="s">
        <v>256</v>
      </c>
      <c r="F100" s="51" t="s">
        <v>256</v>
      </c>
      <c r="G100" s="52" t="s">
        <v>263</v>
      </c>
      <c r="H100" s="53" t="s">
        <v>256</v>
      </c>
      <c r="I100" s="54" t="s">
        <v>256</v>
      </c>
      <c r="J100" s="49" t="s">
        <v>258</v>
      </c>
      <c r="K100" s="53" t="s">
        <v>256</v>
      </c>
    </row>
    <row r="101" spans="1:11" ht="24" customHeight="1" x14ac:dyDescent="0.45"/>
    <row r="102" spans="1:11" ht="24" customHeight="1" x14ac:dyDescent="0.45">
      <c r="A102" s="68" t="s">
        <v>264</v>
      </c>
      <c r="B102" s="69"/>
      <c r="C102" s="69"/>
      <c r="D102" s="69"/>
      <c r="E102" s="69"/>
      <c r="F102" s="69"/>
      <c r="G102" s="69"/>
      <c r="H102" s="69"/>
      <c r="I102" s="70"/>
      <c r="J102" s="55">
        <f>SUM(I4:I93)</f>
        <v>280649</v>
      </c>
    </row>
    <row r="103" spans="1:11" ht="36" customHeight="1" x14ac:dyDescent="0.45">
      <c r="A103" s="68" t="s">
        <v>265</v>
      </c>
      <c r="B103" s="69"/>
      <c r="C103" s="69"/>
      <c r="D103" s="69"/>
      <c r="E103" s="69"/>
      <c r="F103" s="69"/>
      <c r="G103" s="69"/>
      <c r="H103" s="69"/>
      <c r="I103" s="70"/>
      <c r="J103" s="55">
        <f>SUM(J4:J93)</f>
        <v>278757</v>
      </c>
      <c r="K103" s="56">
        <f>J103-J102</f>
        <v>-1892</v>
      </c>
    </row>
  </sheetData>
  <mergeCells count="20">
    <mergeCell ref="A1:K1"/>
    <mergeCell ref="M45:R45"/>
    <mergeCell ref="A65:K65"/>
    <mergeCell ref="M10:Q10"/>
    <mergeCell ref="A80:K80"/>
    <mergeCell ref="A75:K75"/>
    <mergeCell ref="A3:K3"/>
    <mergeCell ref="A103:I103"/>
    <mergeCell ref="M23:Q23"/>
    <mergeCell ref="M32:Q32"/>
    <mergeCell ref="M15:S15"/>
    <mergeCell ref="M33:P33"/>
    <mergeCell ref="M86:Q86"/>
    <mergeCell ref="A95:K95"/>
    <mergeCell ref="A102:I102"/>
    <mergeCell ref="M90:P90"/>
    <mergeCell ref="A53:K53"/>
    <mergeCell ref="A83:K83"/>
    <mergeCell ref="A30:K30"/>
    <mergeCell ref="M67:Q6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5"/>
  <sheetViews>
    <sheetView zoomScaleNormal="100" workbookViewId="0"/>
  </sheetViews>
  <sheetFormatPr baseColWidth="10" defaultColWidth="9" defaultRowHeight="14.25" x14ac:dyDescent="0.45"/>
  <sheetData>
    <row r="1" spans="1:17" ht="14.25" customHeight="1" x14ac:dyDescent="0.45">
      <c r="A1" t="s">
        <v>266</v>
      </c>
      <c r="B1" t="s">
        <v>267</v>
      </c>
      <c r="D1" t="s">
        <v>268</v>
      </c>
      <c r="E1" t="s">
        <v>269</v>
      </c>
      <c r="G1" t="s">
        <v>270</v>
      </c>
      <c r="H1" t="s">
        <v>271</v>
      </c>
      <c r="J1" t="s">
        <v>272</v>
      </c>
      <c r="K1" t="s">
        <v>273</v>
      </c>
      <c r="M1" t="s">
        <v>274</v>
      </c>
      <c r="N1" t="s">
        <v>275</v>
      </c>
      <c r="P1" t="s">
        <v>276</v>
      </c>
      <c r="Q1" t="s">
        <v>277</v>
      </c>
    </row>
    <row r="2" spans="1:17" ht="14.25" customHeight="1" x14ac:dyDescent="0.45">
      <c r="A2">
        <v>0</v>
      </c>
      <c r="B2">
        <v>2960</v>
      </c>
      <c r="D2">
        <v>0</v>
      </c>
      <c r="E2">
        <v>1500</v>
      </c>
      <c r="G2">
        <v>0</v>
      </c>
      <c r="H2">
        <v>2885</v>
      </c>
      <c r="J2">
        <v>0</v>
      </c>
      <c r="K2">
        <v>1330</v>
      </c>
      <c r="M2">
        <v>0</v>
      </c>
      <c r="N2">
        <v>2580</v>
      </c>
      <c r="P2">
        <v>0</v>
      </c>
      <c r="Q2">
        <v>7410</v>
      </c>
    </row>
    <row r="3" spans="1:17" ht="14.25" customHeight="1" x14ac:dyDescent="0.45">
      <c r="A3">
        <v>100</v>
      </c>
      <c r="B3">
        <v>3580</v>
      </c>
      <c r="D3">
        <v>70</v>
      </c>
      <c r="E3">
        <v>2280</v>
      </c>
      <c r="G3">
        <v>100</v>
      </c>
      <c r="H3">
        <v>3303</v>
      </c>
      <c r="J3">
        <v>31</v>
      </c>
      <c r="K3">
        <v>1540</v>
      </c>
      <c r="M3">
        <v>100</v>
      </c>
      <c r="N3">
        <v>3100</v>
      </c>
      <c r="P3">
        <v>100</v>
      </c>
      <c r="Q3">
        <v>10550</v>
      </c>
    </row>
    <row r="4" spans="1:17" ht="14.25" customHeight="1" x14ac:dyDescent="0.45">
      <c r="A4">
        <v>150</v>
      </c>
      <c r="B4">
        <v>4090</v>
      </c>
      <c r="D4">
        <v>90</v>
      </c>
      <c r="E4">
        <v>2870</v>
      </c>
      <c r="G4">
        <v>150</v>
      </c>
      <c r="H4">
        <v>3756</v>
      </c>
      <c r="J4">
        <v>41</v>
      </c>
      <c r="K4">
        <v>1780</v>
      </c>
      <c r="M4">
        <v>150</v>
      </c>
      <c r="N4">
        <v>3600</v>
      </c>
      <c r="P4">
        <v>150</v>
      </c>
      <c r="Q4">
        <v>13830</v>
      </c>
    </row>
    <row r="5" spans="1:17" ht="14.25" customHeight="1" x14ac:dyDescent="0.45">
      <c r="A5">
        <v>200</v>
      </c>
      <c r="B5">
        <v>4670</v>
      </c>
      <c r="D5">
        <v>110</v>
      </c>
      <c r="E5">
        <v>3260</v>
      </c>
      <c r="G5">
        <v>200</v>
      </c>
      <c r="H5">
        <v>4314</v>
      </c>
      <c r="J5">
        <v>51</v>
      </c>
      <c r="K5">
        <v>1980</v>
      </c>
      <c r="M5">
        <v>200</v>
      </c>
      <c r="N5">
        <v>4150</v>
      </c>
      <c r="P5">
        <v>200</v>
      </c>
      <c r="Q5">
        <v>17510</v>
      </c>
    </row>
    <row r="6" spans="1:17" ht="14.25" customHeight="1" x14ac:dyDescent="0.45">
      <c r="A6">
        <v>250</v>
      </c>
      <c r="B6">
        <v>5760</v>
      </c>
      <c r="D6">
        <v>130</v>
      </c>
      <c r="E6">
        <v>3450</v>
      </c>
      <c r="G6">
        <v>250</v>
      </c>
      <c r="H6">
        <v>5315</v>
      </c>
      <c r="J6">
        <v>61</v>
      </c>
      <c r="K6">
        <v>2200</v>
      </c>
      <c r="M6">
        <v>250</v>
      </c>
      <c r="N6">
        <v>4640</v>
      </c>
    </row>
    <row r="7" spans="1:17" ht="14.25" customHeight="1" x14ac:dyDescent="0.45">
      <c r="A7">
        <v>300</v>
      </c>
      <c r="B7">
        <v>6830</v>
      </c>
      <c r="D7">
        <v>150</v>
      </c>
      <c r="E7">
        <v>3810</v>
      </c>
      <c r="G7">
        <v>300</v>
      </c>
      <c r="H7">
        <v>6275</v>
      </c>
      <c r="J7">
        <v>71</v>
      </c>
      <c r="K7">
        <v>2495</v>
      </c>
    </row>
    <row r="8" spans="1:17" ht="14.25" customHeight="1" x14ac:dyDescent="0.45">
      <c r="A8">
        <v>350</v>
      </c>
      <c r="B8">
        <v>7920</v>
      </c>
      <c r="D8">
        <v>170</v>
      </c>
      <c r="E8">
        <v>4020</v>
      </c>
      <c r="G8">
        <v>350</v>
      </c>
      <c r="H8">
        <v>7306</v>
      </c>
      <c r="J8">
        <v>81</v>
      </c>
      <c r="K8">
        <v>2850</v>
      </c>
    </row>
    <row r="9" spans="1:17" ht="14.25" customHeight="1" x14ac:dyDescent="0.45">
      <c r="A9">
        <v>400</v>
      </c>
      <c r="B9">
        <v>8980</v>
      </c>
      <c r="D9">
        <v>190</v>
      </c>
      <c r="E9">
        <v>4260</v>
      </c>
      <c r="G9">
        <v>400</v>
      </c>
      <c r="H9">
        <v>8308</v>
      </c>
    </row>
    <row r="10" spans="1:17" ht="14.25" customHeight="1" x14ac:dyDescent="0.45">
      <c r="A10">
        <v>450</v>
      </c>
      <c r="B10">
        <v>10080</v>
      </c>
      <c r="D10">
        <v>210</v>
      </c>
      <c r="E10">
        <v>4490</v>
      </c>
      <c r="G10">
        <v>450</v>
      </c>
      <c r="H10">
        <v>9278</v>
      </c>
    </row>
    <row r="11" spans="1:17" ht="14.25" customHeight="1" x14ac:dyDescent="0.45">
      <c r="A11">
        <v>500</v>
      </c>
      <c r="B11">
        <v>11150</v>
      </c>
      <c r="D11">
        <v>230</v>
      </c>
      <c r="E11">
        <v>4860</v>
      </c>
      <c r="G11">
        <v>500</v>
      </c>
      <c r="H11">
        <v>10392</v>
      </c>
    </row>
    <row r="12" spans="1:17" ht="14.25" customHeight="1" x14ac:dyDescent="0.45">
      <c r="A12">
        <v>550</v>
      </c>
      <c r="B12">
        <v>12200</v>
      </c>
      <c r="D12">
        <v>250</v>
      </c>
      <c r="E12">
        <v>5280</v>
      </c>
      <c r="G12">
        <v>550</v>
      </c>
      <c r="H12">
        <v>11228</v>
      </c>
    </row>
    <row r="13" spans="1:17" ht="14.25" customHeight="1" x14ac:dyDescent="0.45">
      <c r="A13">
        <v>600</v>
      </c>
      <c r="B13">
        <v>13260</v>
      </c>
      <c r="D13">
        <v>270</v>
      </c>
      <c r="E13">
        <v>5690</v>
      </c>
    </row>
    <row r="14" spans="1:17" ht="14.25" customHeight="1" x14ac:dyDescent="0.45">
      <c r="A14">
        <v>650</v>
      </c>
      <c r="B14">
        <v>14360</v>
      </c>
      <c r="D14">
        <v>290</v>
      </c>
      <c r="E14">
        <v>6100</v>
      </c>
    </row>
    <row r="15" spans="1:17" ht="14.25" customHeight="1" x14ac:dyDescent="0.45">
      <c r="A15">
        <v>700</v>
      </c>
      <c r="B15">
        <v>15430</v>
      </c>
      <c r="D15">
        <v>310</v>
      </c>
      <c r="E15">
        <v>6520</v>
      </c>
    </row>
    <row r="16" spans="1:17" ht="14.25" customHeight="1" x14ac:dyDescent="0.45">
      <c r="A16">
        <v>750</v>
      </c>
      <c r="B16">
        <v>16530</v>
      </c>
      <c r="D16">
        <v>330</v>
      </c>
      <c r="E16">
        <v>6940</v>
      </c>
    </row>
    <row r="17" spans="1:5" ht="14.25" customHeight="1" x14ac:dyDescent="0.45">
      <c r="A17">
        <v>800</v>
      </c>
      <c r="B17">
        <v>17590</v>
      </c>
      <c r="D17">
        <v>350</v>
      </c>
      <c r="E17">
        <v>7370</v>
      </c>
    </row>
    <row r="18" spans="1:5" ht="14.25" customHeight="1" x14ac:dyDescent="0.45">
      <c r="A18">
        <v>850</v>
      </c>
      <c r="B18">
        <v>18680</v>
      </c>
      <c r="D18">
        <v>370</v>
      </c>
      <c r="E18">
        <v>7790</v>
      </c>
    </row>
    <row r="19" spans="1:5" ht="14.25" customHeight="1" x14ac:dyDescent="0.45">
      <c r="A19">
        <v>900</v>
      </c>
      <c r="B19">
        <v>19750</v>
      </c>
      <c r="D19">
        <v>390</v>
      </c>
      <c r="E19">
        <v>8200</v>
      </c>
    </row>
    <row r="20" spans="1:5" ht="14.25" customHeight="1" x14ac:dyDescent="0.45">
      <c r="A20">
        <v>950</v>
      </c>
      <c r="B20">
        <v>20820</v>
      </c>
      <c r="D20">
        <v>410</v>
      </c>
      <c r="E20">
        <v>8610</v>
      </c>
    </row>
    <row r="21" spans="1:5" ht="14.25" customHeight="1" x14ac:dyDescent="0.45">
      <c r="A21">
        <v>1000</v>
      </c>
      <c r="B21">
        <v>23000</v>
      </c>
      <c r="D21">
        <v>430</v>
      </c>
      <c r="E21">
        <v>9020</v>
      </c>
    </row>
    <row r="22" spans="1:5" ht="14.25" customHeight="1" x14ac:dyDescent="0.45">
      <c r="A22">
        <v>1100</v>
      </c>
      <c r="B22">
        <v>24100</v>
      </c>
      <c r="D22">
        <v>450</v>
      </c>
      <c r="E22">
        <v>9440</v>
      </c>
    </row>
    <row r="23" spans="1:5" ht="14.25" customHeight="1" x14ac:dyDescent="0.45">
      <c r="A23">
        <v>1200</v>
      </c>
      <c r="B23">
        <v>26260</v>
      </c>
      <c r="D23">
        <v>470</v>
      </c>
      <c r="E23">
        <v>9860</v>
      </c>
    </row>
    <row r="24" spans="1:5" ht="14.25" customHeight="1" x14ac:dyDescent="0.45">
      <c r="A24">
        <v>1300</v>
      </c>
      <c r="B24">
        <v>28400</v>
      </c>
    </row>
    <row r="25" spans="1:5" ht="14.25" customHeight="1" x14ac:dyDescent="0.45">
      <c r="A25">
        <v>1400</v>
      </c>
      <c r="B25">
        <v>30240</v>
      </c>
    </row>
    <row r="26" spans="1:5" ht="14.25" customHeight="1" x14ac:dyDescent="0.45">
      <c r="A26">
        <v>1500</v>
      </c>
      <c r="B26">
        <v>32710</v>
      </c>
    </row>
    <row r="27" spans="1:5" ht="14.25" customHeight="1" x14ac:dyDescent="0.45">
      <c r="A27">
        <v>1600</v>
      </c>
      <c r="B27">
        <v>34890</v>
      </c>
    </row>
    <row r="28" spans="1:5" ht="14.25" customHeight="1" x14ac:dyDescent="0.45">
      <c r="A28">
        <v>1700</v>
      </c>
      <c r="B28">
        <v>37060</v>
      </c>
    </row>
    <row r="29" spans="1:5" ht="14.25" customHeight="1" x14ac:dyDescent="0.45">
      <c r="A29">
        <v>1800</v>
      </c>
      <c r="B29">
        <v>39200</v>
      </c>
    </row>
    <row r="30" spans="1:5" ht="14.25" customHeight="1" x14ac:dyDescent="0.45">
      <c r="A30">
        <v>1900</v>
      </c>
      <c r="B30">
        <v>41380</v>
      </c>
    </row>
    <row r="31" spans="1:5" ht="14.25" customHeight="1" x14ac:dyDescent="0.45">
      <c r="A31">
        <v>2000</v>
      </c>
      <c r="B31">
        <v>43500</v>
      </c>
    </row>
    <row r="32" spans="1:5" ht="14.25" customHeight="1" x14ac:dyDescent="0.45">
      <c r="A32">
        <v>2100</v>
      </c>
      <c r="B32">
        <v>45650</v>
      </c>
    </row>
    <row r="33" spans="1:2" ht="14.25" customHeight="1" x14ac:dyDescent="0.45">
      <c r="A33">
        <v>2200</v>
      </c>
      <c r="B33">
        <v>47850</v>
      </c>
    </row>
    <row r="34" spans="1:2" ht="14.25" customHeight="1" x14ac:dyDescent="0.45">
      <c r="A34">
        <v>2300</v>
      </c>
      <c r="B34">
        <v>49980</v>
      </c>
    </row>
    <row r="35" spans="1:2" ht="14.25" customHeight="1" x14ac:dyDescent="0.45">
      <c r="A35">
        <v>2400</v>
      </c>
      <c r="B35">
        <v>52160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7E4665F0A1FE740A8B78A90E5340A22" ma:contentTypeVersion="13" ma:contentTypeDescription="Opprett et nytt dokument." ma:contentTypeScope="" ma:versionID="cded2416b003ac21d17fa3e056ec2352">
  <xsd:schema xmlns:xsd="http://www.w3.org/2001/XMLSchema" xmlns:xs="http://www.w3.org/2001/XMLSchema" xmlns:p="http://schemas.microsoft.com/office/2006/metadata/properties" xmlns:ns2="e7257a3a-902e-4cd6-835a-24a0a2cc3549" xmlns:ns3="4be5c560-55dd-4976-9967-c4e49bee7f5f" targetNamespace="http://schemas.microsoft.com/office/2006/metadata/properties" ma:root="true" ma:fieldsID="db2095e8c41739d325dff32159e2b4c3" ns2:_="" ns3:_="">
    <xsd:import namespace="e7257a3a-902e-4cd6-835a-24a0a2cc3549"/>
    <xsd:import namespace="4be5c560-55dd-4976-9967-c4e49bee7f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7a3a-902e-4cd6-835a-24a0a2cc35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ildemerkelapper" ma:readOnly="false" ma:fieldId="{5cf76f15-5ced-4ddc-b409-7134ff3c332f}" ma:taxonomyMulti="true" ma:sspId="c74fb7ff-ca36-450a-9370-0611a97158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e5c560-55dd-4976-9967-c4e49bee7f5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Global taksonomikolonne" ma:hidden="true" ma:list="{4e09ab01-57fd-434d-aa0c-561bc184a0c3}" ma:internalName="TaxCatchAll" ma:showField="CatchAllData" ma:web="4be5c560-55dd-4976-9967-c4e49bee7f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7257a3a-902e-4cd6-835a-24a0a2cc3549">
      <Terms xmlns="http://schemas.microsoft.com/office/infopath/2007/PartnerControls"/>
    </lcf76f155ced4ddcb4097134ff3c332f>
    <TaxCatchAll xmlns="4be5c560-55dd-4976-9967-c4e49bee7f5f" xsi:nil="true"/>
  </documentManagement>
</p:properties>
</file>

<file path=customXml/itemProps1.xml><?xml version="1.0" encoding="utf-8"?>
<ds:datastoreItem xmlns:ds="http://schemas.openxmlformats.org/officeDocument/2006/customXml" ds:itemID="{9D910726-B5AF-4D43-B8B2-417B3D0BAC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7257a3a-902e-4cd6-835a-24a0a2cc3549"/>
    <ds:schemaRef ds:uri="4be5c560-55dd-4976-9967-c4e49bee7f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2AF975-01F8-446B-9E42-D719B02B27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B1BF78-8D16-4D1C-AF4E-F9942920EEFB}">
  <ds:schemaRefs>
    <ds:schemaRef ds:uri="http://schemas.microsoft.com/office/2006/metadata/properties"/>
    <ds:schemaRef ds:uri="http://schemas.microsoft.com/office/infopath/2007/PartnerControls"/>
    <ds:schemaRef ds:uri="e7257a3a-902e-4cd6-835a-24a0a2cc3549"/>
    <ds:schemaRef ds:uri="4be5c560-55dd-4976-9967-c4e49bee7f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Prisoversikt juni 2026</vt:lpstr>
      <vt:lpstr>Tabeller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Geir Bodin</cp:lastModifiedBy>
  <cp:revision>0</cp:revision>
  <dcterms:created xsi:type="dcterms:W3CDTF">2026-07-02T14:32:01Z</dcterms:created>
  <dcterms:modified xsi:type="dcterms:W3CDTF">2026-09-01T16:28:38Z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0x010100E7E4665F0A1FE740A8B78A90E5340A22</vt:lpwstr>
  </property>
  <property fmtid="{D5CDD505-2E9C-101B-9397-08002B2CF9AE}" pid="3" name="MediaServiceImageTags">
    <vt:lpwstr/>
  </property>
</Properties>
</file>