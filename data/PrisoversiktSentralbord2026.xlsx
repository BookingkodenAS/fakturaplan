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51720" yWindow="7170" windowWidth="51840" windowHeight="21120" tabRatio="600" firstSheet="0" activeTab="0" autoFilterDateGrouping="1"/>
  </bookViews>
  <sheets>
    <sheet xmlns:r="http://schemas.openxmlformats.org/officeDocument/2006/relationships" name="Prisoversikt juni 2026" sheetId="1" state="visible" r:id="rId1"/>
    <sheet xmlns:r="http://schemas.openxmlformats.org/officeDocument/2006/relationships" name="Tabeller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\+#,##0;\-#,##0;0"/>
  </numFmts>
  <fonts count="29">
    <font>
      <name val="Calibri"/>
      <charset val="1"/>
      <family val="2"/>
      <color theme="1"/>
      <sz val="11"/>
    </font>
    <font>
      <name val="Calibri"/>
      <charset val="1"/>
      <b val="1"/>
      <color rgb="FFFFFFFF"/>
      <sz val="12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11"/>
    </font>
    <font>
      <name val="Calibri"/>
      <charset val="1"/>
      <b val="1"/>
      <color rgb="FF595959"/>
      <sz val="10"/>
    </font>
    <font>
      <name val="Calibri"/>
      <charset val="1"/>
      <b val="1"/>
      <color rgb="FF000000"/>
      <sz val="10"/>
    </font>
    <font>
      <name val="Calibri"/>
      <charset val="1"/>
      <b val="1"/>
      <color rgb="FF375623"/>
      <sz val="10"/>
    </font>
    <font>
      <name val="Calibri"/>
      <charset val="1"/>
      <color rgb="FF000000"/>
      <sz val="10"/>
    </font>
    <font>
      <name val="Calibri"/>
      <charset val="1"/>
      <i val="1"/>
      <color rgb="FF595959"/>
      <sz val="10"/>
    </font>
    <font>
      <name val="Calibri"/>
      <charset val="1"/>
      <b val="1"/>
      <color rgb="FF1F4E79"/>
      <sz val="10"/>
    </font>
    <font>
      <name val="Calibri"/>
      <charset val="1"/>
      <family val="2"/>
      <color rgb="FF000000"/>
      <sz val="10"/>
    </font>
    <font>
      <name val="Calibri"/>
      <charset val="1"/>
      <family val="2"/>
      <i val="1"/>
      <color rgb="FF595959"/>
      <sz val="10"/>
    </font>
    <font>
      <name val="Calibri"/>
      <charset val="1"/>
      <color rgb="FFBFBFBF"/>
      <sz val="10"/>
    </font>
    <font>
      <name val="Calibri"/>
      <charset val="1"/>
      <family val="2"/>
      <b val="1"/>
      <color rgb="FF1F4E79"/>
      <sz val="10"/>
    </font>
    <font>
      <name val="Calibri"/>
      <charset val="1"/>
      <family val="2"/>
      <color rgb="FFFF0000"/>
      <sz val="10"/>
    </font>
    <font>
      <name val="Calibri"/>
      <charset val="1"/>
      <family val="2"/>
      <b val="1"/>
      <color rgb="FF000000"/>
      <sz val="10"/>
    </font>
    <font>
      <name val="Calibri"/>
      <charset val="1"/>
      <family val="2"/>
      <b val="1"/>
      <sz val="10"/>
    </font>
    <font>
      <name val="Calibri"/>
      <charset val="1"/>
      <b val="1"/>
      <i val="1"/>
      <color rgb="FF000000"/>
      <sz val="10"/>
    </font>
    <font>
      <name val="Calibri"/>
      <charset val="1"/>
      <family val="2"/>
      <b val="1"/>
      <i val="1"/>
      <color rgb="FF000000"/>
      <sz val="10"/>
    </font>
    <font>
      <name val="Calibri"/>
      <charset val="1"/>
      <family val="2"/>
      <b val="1"/>
      <color rgb="FFBFBFBF"/>
      <sz val="10"/>
    </font>
    <font>
      <name val="Calibri"/>
      <charset val="1"/>
      <color rgb="FF595959"/>
      <sz val="10"/>
    </font>
    <font>
      <name val="Calibri"/>
      <charset val="1"/>
      <b val="1"/>
      <color rgb="FF833C00"/>
      <sz val="10"/>
    </font>
    <font>
      <name val="Cambria"/>
      <charset val="1"/>
      <b val="1"/>
      <sz val="11"/>
    </font>
    <font>
      <name val="Calibri"/>
      <family val="2"/>
      <i val="1"/>
      <color rgb="FFFF0000"/>
      <sz val="10"/>
    </font>
    <font>
      <name val="Calibri"/>
      <family val="2"/>
      <color rgb="FF000000"/>
      <sz val="10"/>
    </font>
    <font>
      <name val="Calibri"/>
      <family val="2"/>
      <b val="1"/>
      <color rgb="FF375623"/>
      <sz val="10"/>
    </font>
    <font>
      <name val="Calibri"/>
      <charset val="1"/>
      <family val="2"/>
      <color rgb="FFFF0000"/>
      <sz val="11"/>
    </font>
    <font>
      <name val="Calibri"/>
      <family val="2"/>
      <b val="1"/>
      <color rgb="FFFF0000"/>
      <sz val="10"/>
    </font>
    <font>
      <name val="Calibri"/>
      <family val="2"/>
      <b val="1"/>
      <i val="1"/>
      <sz val="10"/>
    </font>
  </fonts>
  <fills count="10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D6E4F0"/>
        <bgColor rgb="FFE2EFDA"/>
      </patternFill>
    </fill>
    <fill>
      <patternFill patternType="solid">
        <fgColor rgb="FFEBF3FB"/>
        <bgColor rgb="FFE2EFDA"/>
      </patternFill>
    </fill>
    <fill>
      <patternFill patternType="solid">
        <fgColor rgb="FFE2EFDA"/>
        <bgColor rgb="FFEBF3FB"/>
      </patternFill>
    </fill>
    <fill>
      <patternFill patternType="solid">
        <fgColor rgb="FFF2DCDB"/>
        <bgColor rgb="FFE2EFDA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3" fontId="5" fillId="4" borderId="1" applyAlignment="1" pivotButton="0" quotePrefix="0" xfId="0">
      <alignment horizontal="center" vertical="center" wrapText="1"/>
    </xf>
    <xf numFmtId="3" fontId="7" fillId="4" borderId="1" applyAlignment="1" pivotButton="0" quotePrefix="0" xfId="0">
      <alignment horizontal="right" vertical="center" wrapText="1"/>
    </xf>
    <xf numFmtId="3" fontId="9" fillId="4" borderId="1" applyAlignment="1" pivotButton="0" quotePrefix="0" xfId="0">
      <alignment horizontal="right" vertical="center" wrapText="1"/>
    </xf>
    <xf numFmtId="164" fontId="6" fillId="4" borderId="1" applyAlignment="1" pivotButton="0" quotePrefix="0" xfId="0">
      <alignment horizontal="right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left" vertical="center" wrapText="1"/>
    </xf>
    <xf numFmtId="3" fontId="5" fillId="5" borderId="1" applyAlignment="1" pivotButton="0" quotePrefix="0" xfId="0">
      <alignment horizontal="center" vertical="center" wrapText="1"/>
    </xf>
    <xf numFmtId="3" fontId="7" fillId="5" borderId="1" applyAlignment="1" pivotButton="0" quotePrefix="0" xfId="0">
      <alignment horizontal="right" vertical="center" wrapText="1"/>
    </xf>
    <xf numFmtId="3" fontId="9" fillId="5" borderId="1" applyAlignment="1" pivotButton="0" quotePrefix="0" xfId="0">
      <alignment horizontal="right" vertical="center" wrapText="1"/>
    </xf>
    <xf numFmtId="164" fontId="6" fillId="5" borderId="1" applyAlignment="1" pivotButton="0" quotePrefix="0" xfId="0">
      <alignment horizontal="right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right" vertical="center" wrapText="1"/>
    </xf>
    <xf numFmtId="3" fontId="13" fillId="4" borderId="1" applyAlignment="1" pivotButton="0" quotePrefix="0" xfId="0">
      <alignment horizontal="right" vertical="center" wrapText="1"/>
    </xf>
    <xf numFmtId="0" fontId="14" fillId="5" borderId="1" applyAlignment="1" pivotButton="0" quotePrefix="0" xfId="0">
      <alignment horizontal="left" vertical="center" wrapText="1"/>
    </xf>
    <xf numFmtId="0" fontId="15" fillId="4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left" vertical="center" wrapText="1"/>
    </xf>
    <xf numFmtId="0" fontId="10" fillId="4" borderId="1" applyAlignment="1" pivotButton="0" quotePrefix="0" xfId="0">
      <alignment horizontal="left" vertical="center" wrapText="1"/>
    </xf>
    <xf numFmtId="164" fontId="16" fillId="5" borderId="1" applyAlignment="1" pivotButton="0" quotePrefix="0" xfId="0">
      <alignment horizontal="right" vertical="center" wrapText="1"/>
    </xf>
    <xf numFmtId="0" fontId="11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17" fillId="6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left" vertical="center" wrapText="1"/>
    </xf>
    <xf numFmtId="3" fontId="5" fillId="6" borderId="1" applyAlignment="1" pivotButton="0" quotePrefix="0" xfId="0">
      <alignment horizontal="center" vertical="center" wrapText="1"/>
    </xf>
    <xf numFmtId="3" fontId="7" fillId="6" borderId="1" applyAlignment="1" pivotButton="0" quotePrefix="0" xfId="0">
      <alignment horizontal="right" vertical="center" wrapText="1"/>
    </xf>
    <xf numFmtId="3" fontId="9" fillId="6" borderId="1" applyAlignment="1" pivotButton="0" quotePrefix="0" xfId="0">
      <alignment horizontal="right" vertical="center" wrapText="1"/>
    </xf>
    <xf numFmtId="164" fontId="6" fillId="6" borderId="1" applyAlignment="1" pivotButton="0" quotePrefix="0" xfId="0">
      <alignment horizontal="right" vertical="center" wrapText="1"/>
    </xf>
    <xf numFmtId="0" fontId="18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left" vertical="center" wrapText="1"/>
    </xf>
    <xf numFmtId="0" fontId="20" fillId="7" borderId="1" applyAlignment="1" pivotButton="0" quotePrefix="0" xfId="0">
      <alignment horizontal="center" vertical="center" wrapText="1"/>
    </xf>
    <xf numFmtId="0" fontId="20" fillId="7" borderId="1" applyAlignment="1" pivotButton="0" quotePrefix="0" xfId="0">
      <alignment horizontal="left" vertical="center" wrapText="1"/>
    </xf>
    <xf numFmtId="0" fontId="21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12" fillId="7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right" vertical="center" wrapText="1"/>
    </xf>
    <xf numFmtId="3" fontId="0" fillId="0" borderId="0" pivotButton="0" quotePrefix="0" xfId="0"/>
    <xf numFmtId="164" fontId="22" fillId="0" borderId="0" pivotButton="0" quotePrefix="0" xfId="0"/>
    <xf numFmtId="0" fontId="23" fillId="6" borderId="1" applyAlignment="1" pivotButton="0" quotePrefix="0" xfId="0">
      <alignment horizontal="left" vertical="center" wrapText="1"/>
    </xf>
    <xf numFmtId="0" fontId="24" fillId="6" borderId="1" applyAlignment="1" pivotButton="0" quotePrefix="0" xfId="0">
      <alignment horizontal="left" vertical="center" wrapText="1"/>
    </xf>
    <xf numFmtId="0" fontId="25" fillId="6" borderId="1" applyAlignment="1" pivotButton="0" quotePrefix="0" xfId="0">
      <alignment horizontal="center" vertical="center" wrapText="1"/>
    </xf>
    <xf numFmtId="0" fontId="26" fillId="0" borderId="0" pivotButton="0" quotePrefix="0" xfId="0"/>
    <xf numFmtId="0" fontId="27" fillId="5" borderId="1" applyAlignment="1" pivotButton="0" quotePrefix="0" xfId="0">
      <alignment horizontal="left" vertical="center" wrapText="1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8" borderId="0" pivotButton="0" quotePrefix="0" xfId="0"/>
    <xf numFmtId="0" fontId="28" fillId="6" borderId="1" applyAlignment="1" pivotButton="0" quotePrefix="0" xfId="0">
      <alignment horizontal="left" vertical="center" wrapText="1"/>
    </xf>
    <xf numFmtId="0" fontId="0" fillId="8" borderId="0" applyAlignment="1" pivotButton="0" quotePrefix="0" xfId="0">
      <alignment vertical="center"/>
    </xf>
    <xf numFmtId="0" fontId="0" fillId="9" borderId="0" applyAlignment="1" pivotButton="0" quotePrefix="0" xfId="0">
      <alignment vertical="center"/>
    </xf>
    <xf numFmtId="0" fontId="2" fillId="2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0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EBF3FB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2DCDB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833C00"/>
      <rgbColor rgb="FF993366"/>
      <rgbColor rgb="FF1F4E7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6"/>
  <sheetViews>
    <sheetView tabSelected="1" zoomScaleNormal="100" workbookViewId="0">
      <pane xSplit="1" ySplit="2" topLeftCell="B57" activePane="bottomRight" state="frozen"/>
      <selection pane="topRight" activeCell="B1" sqref="B1"/>
      <selection pane="bottomLeft" activeCell="A3" sqref="A3"/>
      <selection pane="bottomRight" activeCell="H34" sqref="H34"/>
    </sheetView>
  </sheetViews>
  <sheetFormatPr baseColWidth="10" defaultColWidth="9" defaultRowHeight="14.25"/>
  <cols>
    <col width="5" customWidth="1" style="74" min="1" max="1"/>
    <col width="28" customWidth="1" style="74" min="2" max="2"/>
    <col width="10" customWidth="1" style="74" min="3" max="3"/>
    <col width="22" customWidth="1" style="74" min="4" max="4"/>
    <col width="33" customWidth="1" style="74" min="5" max="5"/>
    <col width="18" customWidth="1" style="74" min="6" max="6"/>
    <col width="36" customWidth="1" style="74" min="7" max="7"/>
    <col width="10" customWidth="1" style="74" min="8" max="8"/>
    <col width="14" customWidth="1" style="74" min="9" max="9"/>
    <col width="20" customWidth="1" style="74" min="10" max="10"/>
    <col width="14" customWidth="1" style="74" min="11" max="11"/>
    <col width="9" customWidth="1" style="73" min="12" max="12"/>
  </cols>
  <sheetData>
    <row r="1" ht="27.75" customHeight="1" s="74">
      <c r="A1" s="77" t="inlineStr">
        <is>
          <t>We4you AS – Prisoversikt Sentralbord 2026  |  Augusr2026  |  Beregnet vs Faktisk (Tripletex)</t>
        </is>
      </c>
      <c r="B1" s="69" t="n"/>
      <c r="C1" s="69" t="n"/>
      <c r="D1" s="69" t="n"/>
      <c r="E1" s="69" t="n"/>
      <c r="F1" s="69" t="n"/>
      <c r="G1" s="69" t="n"/>
      <c r="H1" s="69" t="n"/>
      <c r="I1" s="69" t="n"/>
      <c r="J1" s="69" t="n"/>
      <c r="K1" s="70" t="n"/>
    </row>
    <row r="2" ht="21.75" customHeight="1" s="74">
      <c r="A2" s="2" t="inlineStr">
        <is>
          <t>#</t>
        </is>
      </c>
      <c r="B2" s="2" t="inlineStr">
        <is>
          <t>Kunde</t>
        </is>
      </c>
      <c r="C2" s="2" t="inlineStr">
        <is>
          <t>Status</t>
        </is>
      </c>
      <c r="D2" s="2" t="inlineStr">
        <is>
          <t>Prismodell</t>
        </is>
      </c>
      <c r="E2" s="2" t="inlineStr">
        <is>
          <t>Pris 2026</t>
        </is>
      </c>
      <c r="F2" s="2" t="inlineStr">
        <is>
          <t>Inkludert</t>
        </is>
      </c>
      <c r="G2" s="2" t="inlineStr">
        <is>
          <t>Merknader / pristrapp</t>
        </is>
      </c>
      <c r="H2" s="2" t="inlineStr">
        <is>
          <t>Anrop (juli)</t>
        </is>
      </c>
      <c r="I2" s="2" t="inlineStr">
        <is>
          <t>Beregnet</t>
        </is>
      </c>
      <c r="J2" s="2" t="inlineStr">
        <is>
          <t>Faktisk august(Tripletex ekskl.)</t>
        </is>
      </c>
      <c r="K2" s="2" t="inlineStr">
        <is>
          <t>Avvik (J−I)</t>
        </is>
      </c>
      <c r="M2" t="inlineStr">
        <is>
          <t>kommentarer</t>
        </is>
      </c>
    </row>
    <row r="3" ht="18" customHeight="1" s="74">
      <c r="A3" s="76" t="inlineStr">
        <is>
          <t>STANDARDTABELL 0-99  (inkl. fast pris-varianter)</t>
        </is>
      </c>
      <c r="B3" s="69" t="n"/>
      <c r="C3" s="69" t="n"/>
      <c r="D3" s="69" t="n"/>
      <c r="E3" s="69" t="n"/>
      <c r="F3" s="69" t="n"/>
      <c r="G3" s="69" t="n"/>
      <c r="H3" s="69" t="n"/>
      <c r="I3" s="69" t="n"/>
      <c r="J3" s="69" t="n"/>
      <c r="K3" s="70" t="n"/>
    </row>
    <row r="4" ht="30" customHeight="1" s="74">
      <c r="A4" s="3" t="n">
        <v>1</v>
      </c>
      <c r="B4" s="4" t="inlineStr">
        <is>
          <t>2Clean AS</t>
        </is>
      </c>
      <c r="C4" s="5" t="inlineStr">
        <is>
          <t>Aktiv</t>
        </is>
      </c>
      <c r="D4" s="6" t="inlineStr">
        <is>
          <t>Standardtabell 0-99</t>
        </is>
      </c>
      <c r="E4" s="6" t="inlineStr">
        <is>
          <t>kr 2 960 / mnd</t>
        </is>
      </c>
      <c r="F4" s="7" t="inlineStr">
        <is>
          <t>0–99 samtaler</t>
        </is>
      </c>
      <c r="G4" s="8" t="inlineStr">
        <is>
          <t>Ekstra engangsfaktura juni: kr 1 070 (e-postmigrering til Nordn) – ikke sentralbord</t>
        </is>
      </c>
      <c r="H4" s="9" t="n">
        <v>48</v>
      </c>
      <c r="I4" s="10">
        <f>IF(H4="–","–",IFERROR(VLOOKUP(H4,Tabeller!$A$2:$B$35,2,TRUE()),2960))</f>
        <v/>
      </c>
      <c r="J4" s="11" t="n">
        <v>2960</v>
      </c>
      <c r="K4" s="12">
        <f>IF(ISNUMBER(I4),IF(ISNUMBER(J4),J4-I4,""),"–")</f>
        <v/>
      </c>
      <c r="L4" s="71" t="inlineStr">
        <is>
          <t>ok</t>
        </is>
      </c>
    </row>
    <row r="5" ht="30" customHeight="1" s="74">
      <c r="A5" s="13" t="n">
        <v>2</v>
      </c>
      <c r="B5" s="14" t="inlineStr">
        <is>
          <t>Advokat Olga Halvorsen AS</t>
        </is>
      </c>
      <c r="C5" s="15" t="inlineStr">
        <is>
          <t>Aktiv</t>
        </is>
      </c>
      <c r="D5" s="16" t="inlineStr">
        <is>
          <t>Standardtabell 0-99</t>
        </is>
      </c>
      <c r="E5" s="16" t="inlineStr">
        <is>
          <t>kr 2 960 / mnd</t>
        </is>
      </c>
      <c r="F5" s="17" t="inlineStr">
        <is>
          <t>0–99 samtaler</t>
        </is>
      </c>
      <c r="G5" s="18" t="n"/>
      <c r="H5" s="19" t="n">
        <v>23</v>
      </c>
      <c r="I5" s="20">
        <f>IF(H5="–","–",IFERROR(VLOOKUP(H5,Tabeller!$A$2:$B$35,2,TRUE()),2960))</f>
        <v/>
      </c>
      <c r="J5" s="21" t="n">
        <v>2960</v>
      </c>
      <c r="K5" s="22">
        <f>IF(ISNUMBER(I5),IF(ISNUMBER(J5),J5-I5,""),"–")</f>
        <v/>
      </c>
      <c r="L5" s="71" t="inlineStr">
        <is>
          <t>ok</t>
        </is>
      </c>
    </row>
    <row r="6" ht="30" customHeight="1" s="74">
      <c r="A6" s="3" t="n">
        <v>3</v>
      </c>
      <c r="B6" s="4" t="inlineStr">
        <is>
          <t>Advokat Sandra Latotinaite</t>
        </is>
      </c>
      <c r="C6" s="5" t="inlineStr">
        <is>
          <t>Aktiv</t>
        </is>
      </c>
      <c r="D6" s="6" t="inlineStr">
        <is>
          <t>Standardtabell 0-99</t>
        </is>
      </c>
      <c r="E6" s="6" t="inlineStr">
        <is>
          <t>kr 2 960 / mnd</t>
        </is>
      </c>
      <c r="F6" s="7" t="inlineStr">
        <is>
          <t>0–99 samtaler</t>
        </is>
      </c>
      <c r="G6" s="8" t="n"/>
      <c r="H6" s="9" t="n">
        <v>22</v>
      </c>
      <c r="I6" s="10">
        <f>IF(H6="–","–",IFERROR(VLOOKUP(H6,Tabeller!$A$2:$B$35,2,TRUE()),2960))</f>
        <v/>
      </c>
      <c r="J6" s="11" t="n">
        <v>2960</v>
      </c>
      <c r="K6" s="12">
        <f>IF(ISNUMBER(I6),IF(ISNUMBER(J6),J6-I6,""),"–")</f>
        <v/>
      </c>
      <c r="L6" s="71" t="inlineStr">
        <is>
          <t>ok</t>
        </is>
      </c>
    </row>
    <row r="7" ht="30" customHeight="1" s="74">
      <c r="A7" s="13" t="n">
        <v>4</v>
      </c>
      <c r="B7" s="14" t="inlineStr">
        <is>
          <t>Akkodis – Data Respons</t>
        </is>
      </c>
      <c r="C7" s="15" t="inlineStr">
        <is>
          <t>Aktiv</t>
        </is>
      </c>
      <c r="D7" s="16" t="inlineStr">
        <is>
          <t>Standardtabell 0-99</t>
        </is>
      </c>
      <c r="E7" s="16" t="inlineStr">
        <is>
          <t>kr 2 960 / mnd</t>
        </is>
      </c>
      <c r="F7" s="17" t="inlineStr">
        <is>
          <t>0–99 samtaler</t>
        </is>
      </c>
      <c r="G7" s="18" t="inlineStr">
        <is>
          <t>Tidl. Datarespons</t>
        </is>
      </c>
      <c r="H7" s="19" t="n">
        <v>9</v>
      </c>
      <c r="I7" s="20">
        <f>IF(H7="–","–",IFERROR(VLOOKUP(H7,Tabeller!$A$2:$B$35,2,TRUE()),2960))</f>
        <v/>
      </c>
      <c r="J7" s="21" t="n">
        <v>2960</v>
      </c>
      <c r="K7" s="22">
        <f>IF(ISNUMBER(I7),IF(ISNUMBER(J7),J7-I7,""),"–")</f>
        <v/>
      </c>
      <c r="L7" s="71" t="inlineStr">
        <is>
          <t>ok</t>
        </is>
      </c>
    </row>
    <row r="8" ht="30" customHeight="1" s="74">
      <c r="A8" s="3" t="n">
        <v>5</v>
      </c>
      <c r="B8" s="4" t="inlineStr">
        <is>
          <t>Bodyfly Frogner AS</t>
        </is>
      </c>
      <c r="C8" s="5" t="inlineStr">
        <is>
          <t>Aktiv</t>
        </is>
      </c>
      <c r="D8" s="6" t="inlineStr">
        <is>
          <t>Fast pris</t>
        </is>
      </c>
      <c r="E8" s="6" t="inlineStr">
        <is>
          <t>kr 1 600 / mnd inkl. 99 anrop</t>
        </is>
      </c>
      <c r="F8" s="7" t="inlineStr">
        <is>
          <t>0–99 anrop</t>
        </is>
      </c>
      <c r="G8" s="8" t="inlineStr">
        <is>
          <t>Fast pris 1 600 – IKKE standardtabell 2 960</t>
        </is>
      </c>
      <c r="H8" s="9" t="n">
        <v>15</v>
      </c>
      <c r="I8" s="10">
        <f>1600</f>
        <v/>
      </c>
      <c r="J8" s="11" t="n">
        <v>1600</v>
      </c>
      <c r="K8" s="12">
        <f>IF(ISNUMBER(I8),IF(ISNUMBER(J8),J8-I8,""),"–")</f>
        <v/>
      </c>
      <c r="L8" s="71" t="inlineStr">
        <is>
          <t>ok</t>
        </is>
      </c>
    </row>
    <row r="9" ht="30" customHeight="1" s="74">
      <c r="A9" s="13" t="n">
        <v>6</v>
      </c>
      <c r="B9" s="14" t="inlineStr">
        <is>
          <t>Calpro AS</t>
        </is>
      </c>
      <c r="C9" s="15" t="inlineStr">
        <is>
          <t>Aktiv</t>
        </is>
      </c>
      <c r="D9" s="16" t="inlineStr">
        <is>
          <t>Standardtabell 0-99</t>
        </is>
      </c>
      <c r="E9" s="16" t="inlineStr">
        <is>
          <t>kr 2 960 / mnd</t>
        </is>
      </c>
      <c r="F9" s="17" t="inlineStr">
        <is>
          <t>0–99 samtaler</t>
        </is>
      </c>
      <c r="G9" s="18" t="n"/>
      <c r="H9" s="19" t="n">
        <v>7</v>
      </c>
      <c r="I9" s="20">
        <f>IF(H9="–","–",IFERROR(VLOOKUP(H9,Tabeller!$A$2:$B$35,2,TRUE()),2960))</f>
        <v/>
      </c>
      <c r="J9" s="21" t="n">
        <v>2960</v>
      </c>
      <c r="K9" s="22">
        <f>IF(ISNUMBER(I9),IF(ISNUMBER(J9),J9-I9,""),"–")</f>
        <v/>
      </c>
      <c r="L9" s="71" t="inlineStr">
        <is>
          <t>ok</t>
        </is>
      </c>
    </row>
    <row r="10" ht="30" customHeight="1" s="74">
      <c r="A10" s="3" t="n">
        <v>7</v>
      </c>
      <c r="B10" s="4" t="inlineStr">
        <is>
          <t>Coromatic AS</t>
        </is>
      </c>
      <c r="C10" s="5" t="inlineStr">
        <is>
          <t>Aktiv</t>
        </is>
      </c>
      <c r="D10" s="16" t="inlineStr">
        <is>
          <t>Standardtabell 0-99</t>
        </is>
      </c>
      <c r="E10" s="16" t="inlineStr">
        <is>
          <t>kr 2 960 / mnd</t>
        </is>
      </c>
      <c r="F10" s="23" t="inlineStr">
        <is>
          <t>0–99 samtaler</t>
        </is>
      </c>
      <c r="G10" s="24" t="inlineStr">
        <is>
          <t>Coromatic skal følgestandard tabell 0-99</t>
        </is>
      </c>
      <c r="H10" s="25" t="n">
        <v>110</v>
      </c>
      <c r="I10" s="10" t="n">
        <v>3580</v>
      </c>
      <c r="J10" s="11" t="n">
        <v>3580</v>
      </c>
      <c r="K10" s="12">
        <f>IF(ISNUMBER(I10),IF(ISNUMBER(J10),J10-I10,""),"–")</f>
        <v/>
      </c>
      <c r="L10" s="71" t="inlineStr">
        <is>
          <t>ok</t>
        </is>
      </c>
      <c r="M10" s="71" t="inlineStr">
        <is>
          <t>endret fra 2960 til 3580</t>
        </is>
      </c>
    </row>
    <row r="11" ht="30" customHeight="1" s="74">
      <c r="A11" s="13" t="n">
        <v>8</v>
      </c>
      <c r="B11" s="14" t="inlineStr">
        <is>
          <t>Dal Media (Digital Media Group AS)</t>
        </is>
      </c>
      <c r="C11" s="15" t="inlineStr">
        <is>
          <t>Aktiv</t>
        </is>
      </c>
      <c r="D11" s="16" t="inlineStr">
        <is>
          <t>Standardtabell + faste tillegg</t>
        </is>
      </c>
      <c r="E11" s="16" t="inlineStr">
        <is>
          <t>Standardtabell (hoved-kø)Tell med samlet antall besvart samtaler for Dal media(Digital media group AS) + 3 selskaper på statistikken: TDC Caravan + Saltando + Victoria + + 3 × kr 199 tillegg</t>
        </is>
      </c>
      <c r="F11" s="17" t="inlineStr">
        <is>
          <t>Se anrop</t>
        </is>
      </c>
      <c r="G11" s="18" t="inlineStr">
        <is>
          <t>Fakturer samlet antall besvart samtaler for 3 selskaper på statistikken: TDC Caravan + Saltando + Victoria + (3×199kr). Tripletex-navn: Digital Media Group AS</t>
        </is>
      </c>
      <c r="H11" s="19" t="n">
        <v>206</v>
      </c>
      <c r="I11" s="20">
        <f>IF(H11="–","–",IFERROR(VLOOKUP(H11,Tabeller!$A$2:$B$35,2,TRUE()),2960)+3*199)</f>
        <v/>
      </c>
      <c r="J11" s="21" t="n">
        <v>5267</v>
      </c>
      <c r="K11" s="22">
        <f>IF(ISNUMBER(I11),IF(ISNUMBER(J11),J11-I11,""),"–")</f>
        <v/>
      </c>
      <c r="L11" s="71" t="inlineStr">
        <is>
          <t>ok</t>
        </is>
      </c>
      <c r="M11" s="72" t="inlineStr">
        <is>
          <t>Endret fra 7427 til 5267</t>
        </is>
      </c>
      <c r="N11" s="72" t="n"/>
      <c r="O11" s="72" t="n"/>
    </row>
    <row r="12" ht="30" customHeight="1" s="74">
      <c r="A12" s="3" t="n">
        <v>9</v>
      </c>
      <c r="B12" s="4" t="inlineStr">
        <is>
          <t>Element Logic AS</t>
        </is>
      </c>
      <c r="C12" s="5" t="inlineStr">
        <is>
          <t>Aktiv</t>
        </is>
      </c>
      <c r="D12" s="6" t="inlineStr">
        <is>
          <t>Kvartalsvis (standardtabell)</t>
        </is>
      </c>
      <c r="E12" s="6" t="inlineStr">
        <is>
          <t>kr 8 880 / kvartal</t>
        </is>
      </c>
      <c r="F12" s="7" t="inlineStr">
        <is>
          <t>Kvartalsvis forskudd</t>
        </is>
      </c>
      <c r="G12" s="8" t="inlineStr">
        <is>
          <t>April–juni betalt april – neste faktura juli</t>
        </is>
      </c>
      <c r="H12" s="9" t="n">
        <v>46</v>
      </c>
      <c r="I12" s="10">
        <f>0</f>
        <v/>
      </c>
      <c r="J12" s="11" t="n">
        <v>0</v>
      </c>
      <c r="K12" s="12">
        <f>IF(ISNUMBER(I12),IF(ISNUMBER(J12),J12-I12,""),"–")</f>
        <v/>
      </c>
      <c r="L12" s="71" t="n"/>
    </row>
    <row r="13" ht="30" customHeight="1" s="74">
      <c r="A13" s="13" t="n">
        <v>10</v>
      </c>
      <c r="B13" s="14" t="inlineStr">
        <is>
          <t>Element Logic Sweden AB</t>
        </is>
      </c>
      <c r="C13" s="15" t="inlineStr">
        <is>
          <t>Aktiv</t>
        </is>
      </c>
      <c r="D13" s="16" t="inlineStr">
        <is>
          <t>Kvartalsvis (standardtabell)</t>
        </is>
      </c>
      <c r="E13" s="16" t="inlineStr">
        <is>
          <t>kr 8 880 / kvartal</t>
        </is>
      </c>
      <c r="F13" s="17" t="inlineStr">
        <is>
          <t>Kvartalsvis forskudd</t>
        </is>
      </c>
      <c r="G13" s="18" t="inlineStr">
        <is>
          <t>Q3-forskudd betalt juni</t>
        </is>
      </c>
      <c r="H13" s="19" t="n">
        <v>40</v>
      </c>
      <c r="I13" s="20">
        <f>8880</f>
        <v/>
      </c>
      <c r="J13" s="21" t="n">
        <v>8880</v>
      </c>
      <c r="K13" s="22">
        <f>IF(ISNUMBER(I13),IF(ISNUMBER(J13),J13-I13,""),"–")</f>
        <v/>
      </c>
    </row>
    <row r="14" ht="30" customHeight="1" s="74">
      <c r="A14" s="3" t="n">
        <v>11</v>
      </c>
      <c r="B14" s="4" t="inlineStr">
        <is>
          <t>First Mover Group Norge AS / Relokator</t>
        </is>
      </c>
      <c r="C14" s="5" t="inlineStr">
        <is>
          <t>Aktiv</t>
        </is>
      </c>
      <c r="D14" s="6" t="inlineStr">
        <is>
          <t>Standardtabell 0-99 + tillegg</t>
        </is>
      </c>
      <c r="E14" s="6" t="inlineStr">
        <is>
          <t>kr 2 960 / mnd + tillegg</t>
        </is>
      </c>
      <c r="F14" s="7" t="inlineStr">
        <is>
          <t>0–99 samtaler</t>
        </is>
      </c>
      <c r="G14" s="8" t="n"/>
      <c r="H14" s="25" t="n">
        <v>117</v>
      </c>
      <c r="I14" s="26">
        <f>IF(H14="–","–",IFERROR(VLOOKUP(H14,Tabeller!$A$2:$B$35,2,TRUE()),2960)+1439)</f>
        <v/>
      </c>
      <c r="J14" s="27" t="n">
        <v>5019</v>
      </c>
      <c r="K14" s="25">
        <f>IF(ISNUMBER(I14),IF(ISNUMBER(J14),J14-I14,""),"–")</f>
        <v/>
      </c>
      <c r="L14" s="71" t="inlineStr">
        <is>
          <t>ok</t>
        </is>
      </c>
      <c r="M14" s="72" t="inlineStr">
        <is>
          <t>Endret fra kr 4399,- til 5019,-</t>
        </is>
      </c>
      <c r="N14" s="72" t="n"/>
      <c r="O14" s="72" t="n"/>
    </row>
    <row r="15" ht="30" customHeight="1" s="74">
      <c r="A15" s="13" t="n">
        <v>12</v>
      </c>
      <c r="B15" s="14" t="inlineStr">
        <is>
          <t>Foma Norge AS</t>
        </is>
      </c>
      <c r="C15" s="15" t="inlineStr">
        <is>
          <t>Aktiv</t>
        </is>
      </c>
      <c r="D15" s="16" t="inlineStr">
        <is>
          <t>Standardtabell + grunnpris</t>
        </is>
      </c>
      <c r="E15" s="16" t="inlineStr">
        <is>
          <t>Standardtabell + kr 199 grunnpris / mnd</t>
        </is>
      </c>
      <c r="F15" s="17" t="inlineStr">
        <is>
          <t>0–99+ samtaler</t>
        </is>
      </c>
      <c r="G15" s="18" t="n"/>
      <c r="H15" s="19" t="n">
        <v>309</v>
      </c>
      <c r="I15" s="20">
        <f>IF(H15="–","–",IFERROR(VLOOKUP(H15,Tabeller!$A$2:$B$35,2,TRUE()),2960)+199)</f>
        <v/>
      </c>
      <c r="J15" s="21" t="n">
        <v>7029</v>
      </c>
      <c r="K15" s="22">
        <f>IF(ISNUMBER(I15),IF(ISNUMBER(J15),J15-I15,""),"–")</f>
        <v/>
      </c>
      <c r="L15" s="71" t="inlineStr">
        <is>
          <t>ok</t>
        </is>
      </c>
      <c r="M15" s="75" t="n"/>
    </row>
    <row r="16" ht="30" customHeight="1" s="74">
      <c r="A16" s="3" t="n">
        <v>13</v>
      </c>
      <c r="B16" s="4" t="inlineStr">
        <is>
          <t>Gass og Pusteservice AS</t>
        </is>
      </c>
      <c r="C16" s="5" t="inlineStr">
        <is>
          <t>Aktiv</t>
        </is>
      </c>
      <c r="D16" s="6" t="inlineStr">
        <is>
          <t>Standardtabell + utvidet åpningstid</t>
        </is>
      </c>
      <c r="E16" s="6" t="inlineStr">
        <is>
          <t>kr 2 960 / mnd + kr 360 utvidet åpningstid</t>
        </is>
      </c>
      <c r="F16" s="7" t="inlineStr">
        <is>
          <t>0–99 samtaler</t>
        </is>
      </c>
      <c r="G16" s="8" t="inlineStr">
        <is>
          <t>Tillegg utvidet åpningstid: kr 360/mnd</t>
        </is>
      </c>
      <c r="H16" s="9" t="n">
        <v>83</v>
      </c>
      <c r="I16" s="10">
        <f>IF(H16="–","–",IFERROR(VLOOKUP(H16,Tabeller!$A$2:$B$35,2,TRUE()),2960)+360)</f>
        <v/>
      </c>
      <c r="J16" s="11" t="n">
        <v>3320</v>
      </c>
      <c r="K16" s="12">
        <f>IF(ISNUMBER(I16),IF(ISNUMBER(J16),J16-I16,""),"–")</f>
        <v/>
      </c>
      <c r="L16" s="71" t="inlineStr">
        <is>
          <t>ok</t>
        </is>
      </c>
    </row>
    <row r="17" ht="30" customHeight="1" s="74">
      <c r="A17" s="13" t="n">
        <v>14</v>
      </c>
      <c r="B17" s="14" t="inlineStr">
        <is>
          <t>Kardex Norge AS</t>
        </is>
      </c>
      <c r="C17" s="15" t="inlineStr">
        <is>
          <t>Aktiv</t>
        </is>
      </c>
      <c r="D17" s="16" t="inlineStr">
        <is>
          <t>Standardtabell 0-99</t>
        </is>
      </c>
      <c r="E17" s="16" t="inlineStr">
        <is>
          <t>kr 2 960 / mnd</t>
        </is>
      </c>
      <c r="F17" s="17" t="inlineStr">
        <is>
          <t>0–99 samtaler</t>
        </is>
      </c>
      <c r="G17" s="18" t="n"/>
      <c r="H17" s="19" t="n">
        <v>65</v>
      </c>
      <c r="I17" s="20">
        <f>IF(H17="–","–",IFERROR(VLOOKUP(H17,Tabeller!$A$2:$B$35,2,TRUE()),2960))</f>
        <v/>
      </c>
      <c r="J17" s="21" t="n">
        <v>2960</v>
      </c>
      <c r="K17" s="22">
        <f>IF(ISNUMBER(I17),IF(ISNUMBER(J17),J17-I17,""),"–")</f>
        <v/>
      </c>
      <c r="L17" s="71" t="inlineStr">
        <is>
          <t>ok</t>
        </is>
      </c>
    </row>
    <row r="18" ht="30" customHeight="1" s="74">
      <c r="A18" s="3" t="n">
        <v>15</v>
      </c>
      <c r="B18" s="4" t="inlineStr">
        <is>
          <t>KTV Group AS</t>
        </is>
      </c>
      <c r="C18" s="5" t="inlineStr">
        <is>
          <t>Aktiv</t>
        </is>
      </c>
      <c r="D18" s="6" t="inlineStr">
        <is>
          <t>Standardtabell 0-99 (10 % rabatt)</t>
        </is>
      </c>
      <c r="E18" s="6" t="inlineStr">
        <is>
          <t>kr 2 664 / mnd (2 960 med 10 % rabatt)</t>
        </is>
      </c>
      <c r="F18" s="7" t="inlineStr">
        <is>
          <t>0–99 samtaler</t>
        </is>
      </c>
      <c r="G18" s="8" t="inlineStr">
        <is>
          <t>Fast 10 % rabatt på standardtabell</t>
        </is>
      </c>
      <c r="H18" s="9" t="n">
        <v>15</v>
      </c>
      <c r="I18" s="10">
        <f>IF(H18="–","–",ROUND(IFERROR(VLOOKUP(H18,Tabeller!$A$2:$B$35,2,TRUE()),2960)*0.9,0))</f>
        <v/>
      </c>
      <c r="J18" s="11" t="n">
        <v>2664</v>
      </c>
      <c r="K18" s="12">
        <f>IF(ISNUMBER(I18),IF(ISNUMBER(J18),J18-I18,""),"–")</f>
        <v/>
      </c>
      <c r="L18" s="71" t="inlineStr">
        <is>
          <t>ok</t>
        </is>
      </c>
    </row>
    <row r="19" ht="30" customHeight="1" s="74">
      <c r="A19" s="13" t="n">
        <v>16</v>
      </c>
      <c r="B19" s="14" t="inlineStr">
        <is>
          <t>NOAH AS</t>
        </is>
      </c>
      <c r="C19" s="15" t="inlineStr">
        <is>
          <t>Aktiv</t>
        </is>
      </c>
      <c r="D19" s="16" t="inlineStr">
        <is>
          <t>Standardtabell 0-99</t>
        </is>
      </c>
      <c r="E19" s="16" t="inlineStr">
        <is>
          <t>kr 2 960 / mnd</t>
        </is>
      </c>
      <c r="F19" s="17" t="inlineStr">
        <is>
          <t>0–99 samtaler</t>
        </is>
      </c>
      <c r="G19" s="18" t="n"/>
      <c r="H19" s="19" t="n">
        <v>49</v>
      </c>
      <c r="I19" s="20">
        <f>IF(H19="–","–",IFERROR(VLOOKUP(H19,Tabeller!$A$2:$B$35,2,TRUE()),2960))</f>
        <v/>
      </c>
      <c r="J19" s="21" t="n">
        <v>2960</v>
      </c>
      <c r="K19" s="22">
        <f>IF(ISNUMBER(I19),IF(ISNUMBER(J19),J19-I19,""),"–")</f>
        <v/>
      </c>
      <c r="L19" s="71" t="inlineStr">
        <is>
          <t>ok</t>
        </is>
      </c>
    </row>
    <row r="20" ht="30" customHeight="1" s="74">
      <c r="A20" s="3" t="n">
        <v>17</v>
      </c>
      <c r="B20" s="4" t="inlineStr">
        <is>
          <t>Norenco Norge AS</t>
        </is>
      </c>
      <c r="C20" s="5" t="inlineStr">
        <is>
          <t>Aktiv</t>
        </is>
      </c>
      <c r="D20" s="6" t="inlineStr">
        <is>
          <t>Standardtabell + tillegg linje</t>
        </is>
      </c>
      <c r="E20" s="6" t="inlineStr">
        <is>
          <t>Standardtabell + kr 199 tillegg</t>
        </is>
      </c>
      <c r="F20" s="7" t="inlineStr">
        <is>
          <t>0–99 samtaler</t>
        </is>
      </c>
      <c r="G20" s="8" t="n"/>
      <c r="H20" s="9" t="n">
        <v>68</v>
      </c>
      <c r="I20" s="10">
        <f>IF(H20="–","–",IFERROR(VLOOKUP(H20,Tabeller!$A$2:$B$35,2,TRUE()),2960)+199)</f>
        <v/>
      </c>
      <c r="J20" s="11" t="n">
        <v>3159</v>
      </c>
      <c r="K20" s="12">
        <f>IF(ISNUMBER(I20),IF(ISNUMBER(J20),J20-I20,""),"–")</f>
        <v/>
      </c>
      <c r="L20" s="71" t="inlineStr">
        <is>
          <t>ok</t>
        </is>
      </c>
    </row>
    <row r="21" ht="30" customHeight="1" s="74">
      <c r="A21" s="13" t="n">
        <v>18</v>
      </c>
      <c r="B21" s="14" t="inlineStr">
        <is>
          <t>Senter for stress og Traumepsykologi AS</t>
        </is>
      </c>
      <c r="C21" s="15" t="inlineStr">
        <is>
          <t>Aktiv</t>
        </is>
      </c>
      <c r="D21" s="16" t="inlineStr">
        <is>
          <t>Standardtabell 0-99</t>
        </is>
      </c>
      <c r="E21" s="16" t="inlineStr">
        <is>
          <t>kr 2 960 / mnd</t>
        </is>
      </c>
      <c r="F21" s="17" t="inlineStr">
        <is>
          <t>0–99 samtaler</t>
        </is>
      </c>
      <c r="G21" s="18" t="n"/>
      <c r="H21" s="19" t="n">
        <v>47</v>
      </c>
      <c r="I21" s="20">
        <f>IF(H21="–","–",IFERROR(VLOOKUP(H21,Tabeller!$A$2:$B$35,2,TRUE()),2960))</f>
        <v/>
      </c>
      <c r="J21" s="21" t="n">
        <v>2960</v>
      </c>
      <c r="K21" s="22">
        <f>IF(ISNUMBER(I21),IF(ISNUMBER(J21),J21-I21,""),"–")</f>
        <v/>
      </c>
      <c r="L21" s="71" t="inlineStr">
        <is>
          <t>ok</t>
        </is>
      </c>
    </row>
    <row r="22" ht="30" customHeight="1" s="74">
      <c r="A22" s="3" t="n">
        <v>19</v>
      </c>
      <c r="B22" s="4" t="inlineStr">
        <is>
          <t>Spraying Systems Sverige AB</t>
        </is>
      </c>
      <c r="C22" s="5" t="inlineStr">
        <is>
          <t>Aktiv</t>
        </is>
      </c>
      <c r="D22" s="6" t="inlineStr">
        <is>
          <t>Standardtabell 0-99</t>
        </is>
      </c>
      <c r="E22" s="6" t="inlineStr">
        <is>
          <t>kr 2 960 / mnd</t>
        </is>
      </c>
      <c r="F22" s="7" t="inlineStr">
        <is>
          <t>0–99 samtaler</t>
        </is>
      </c>
      <c r="G22" s="8" t="n"/>
      <c r="H22" s="9" t="n">
        <v>14</v>
      </c>
      <c r="I22" s="10">
        <f>IF(H22="–","–",IFERROR(VLOOKUP(H22,Tabeller!$A$2:$B$35,2,TRUE()),2960))</f>
        <v/>
      </c>
      <c r="J22" s="11" t="n">
        <v>2960</v>
      </c>
      <c r="K22" s="12">
        <f>IF(ISNUMBER(I22),IF(ISNUMBER(J22),J22-I22,""),"–")</f>
        <v/>
      </c>
      <c r="L22" s="71" t="inlineStr">
        <is>
          <t>ok</t>
        </is>
      </c>
    </row>
    <row r="23" ht="30" customHeight="1" s="74">
      <c r="A23" s="13" t="n">
        <v>20</v>
      </c>
      <c r="B23" s="14" t="inlineStr">
        <is>
          <t>Standard Norge AS</t>
        </is>
      </c>
      <c r="C23" s="15" t="inlineStr">
        <is>
          <t>Aktiv</t>
        </is>
      </c>
      <c r="D23" s="16" t="inlineStr">
        <is>
          <t>Standardtabell 0-99</t>
        </is>
      </c>
      <c r="E23" s="16" t="inlineStr">
        <is>
          <t>kr 2 960 / mnd</t>
        </is>
      </c>
      <c r="F23" s="17" t="inlineStr">
        <is>
          <t>0–99 samtaler</t>
        </is>
      </c>
      <c r="G23" s="28" t="n"/>
      <c r="H23" s="19" t="n">
        <v>175</v>
      </c>
      <c r="I23" s="20">
        <f>IF(H23="–","–",IFERROR(VLOOKUP(H23,Tabeller!$A$2:$B$35,2,TRUE()),2960))</f>
        <v/>
      </c>
      <c r="J23" s="21" t="n">
        <v>4090</v>
      </c>
      <c r="K23" s="22">
        <f>IF(ISNUMBER(I23),IF(ISNUMBER(J23),J23-I23,""),"–")</f>
        <v/>
      </c>
      <c r="L23" s="71" t="inlineStr">
        <is>
          <t>ok</t>
        </is>
      </c>
      <c r="M23" s="71" t="inlineStr">
        <is>
          <t>endret fra 3580 til 4090,-</t>
        </is>
      </c>
    </row>
    <row r="24" ht="30" customHeight="1" s="74">
      <c r="A24" s="3" t="n">
        <v>21</v>
      </c>
      <c r="B24" s="4" t="inlineStr">
        <is>
          <t>TD Synnex Norway AS</t>
        </is>
      </c>
      <c r="C24" s="5" t="inlineStr">
        <is>
          <t>Aktiv</t>
        </is>
      </c>
      <c r="D24" s="6" t="inlineStr">
        <is>
          <t>Standardtabell 0-99</t>
        </is>
      </c>
      <c r="E24" s="6" t="inlineStr">
        <is>
          <t>kr 2 960 / mnd</t>
        </is>
      </c>
      <c r="F24" s="7" t="inlineStr">
        <is>
          <t>0–99 samtaler</t>
        </is>
      </c>
      <c r="G24" s="8" t="n"/>
      <c r="H24" s="9" t="n">
        <v>128</v>
      </c>
      <c r="I24" s="10" t="n">
        <v>3580</v>
      </c>
      <c r="J24" s="11" t="n">
        <v>3580</v>
      </c>
      <c r="K24" s="12">
        <f>IF(ISNUMBER(I24),IF(ISNUMBER(J24),J24-I24,""),"–")</f>
        <v/>
      </c>
      <c r="L24" s="71" t="inlineStr">
        <is>
          <t>ok</t>
        </is>
      </c>
      <c r="M24" s="67" t="n"/>
      <c r="N24" s="67" t="n"/>
      <c r="O24" s="67" t="n"/>
      <c r="P24" s="67" t="n"/>
    </row>
    <row r="25" ht="30" customHeight="1" s="74">
      <c r="A25" s="13" t="n">
        <v>22</v>
      </c>
      <c r="B25" s="14" t="inlineStr">
        <is>
          <t>Teva AS (Teva-Actavis)</t>
        </is>
      </c>
      <c r="C25" s="15" t="inlineStr">
        <is>
          <t>Aktiv</t>
        </is>
      </c>
      <c r="D25" s="16" t="inlineStr">
        <is>
          <t>Standardtabell + grunnpris</t>
        </is>
      </c>
      <c r="E25" s="16" t="inlineStr">
        <is>
          <t>Standardtabell + kr 199 grunnpris</t>
        </is>
      </c>
      <c r="F25" s="17" t="inlineStr">
        <is>
          <t>0–99 samtaler</t>
        </is>
      </c>
      <c r="G25" s="18" t="n"/>
      <c r="H25" s="19" t="n">
        <v>13</v>
      </c>
      <c r="I25" s="20" t="n">
        <v>3159</v>
      </c>
      <c r="J25" s="21" t="n">
        <v>3159</v>
      </c>
      <c r="K25" s="22">
        <f>IF(ISNUMBER(I25),IF(ISNUMBER(J25),J25-I25,""),"–")</f>
        <v/>
      </c>
      <c r="L25" s="71" t="inlineStr">
        <is>
          <t>ok</t>
        </is>
      </c>
      <c r="M25" s="66" t="inlineStr">
        <is>
          <t>endret fra 3580 til 3159</t>
        </is>
      </c>
      <c r="N25" s="66" t="n"/>
      <c r="O25" s="66" t="n"/>
    </row>
    <row r="26" ht="30" customHeight="1" s="74">
      <c r="A26" s="3" t="n">
        <v>23</v>
      </c>
      <c r="B26" s="4" t="inlineStr">
        <is>
          <t>Ultralydklinikken AS</t>
        </is>
      </c>
      <c r="C26" s="5" t="inlineStr">
        <is>
          <t>Aktiv</t>
        </is>
      </c>
      <c r="D26" s="6" t="inlineStr">
        <is>
          <t>Standardtabell 0-99</t>
        </is>
      </c>
      <c r="E26" s="6" t="inlineStr">
        <is>
          <t>kr 2 960 / mnd</t>
        </is>
      </c>
      <c r="F26" s="7" t="inlineStr">
        <is>
          <t>0–99 samtaler</t>
        </is>
      </c>
      <c r="G26" s="8" t="n"/>
      <c r="H26" s="9" t="n">
        <v>74</v>
      </c>
      <c r="I26" s="10">
        <f>IF(H26="–","–",IFERROR(VLOOKUP(H26,Tabeller!$A$2:$B$35,2,TRUE()),2960))</f>
        <v/>
      </c>
      <c r="J26" s="11" t="n">
        <v>2960</v>
      </c>
      <c r="K26" s="12">
        <f>IF(ISNUMBER(I26),IF(ISNUMBER(J26),J26-I26,""),"–")</f>
        <v/>
      </c>
      <c r="L26" s="71" t="inlineStr">
        <is>
          <t>ok</t>
        </is>
      </c>
    </row>
    <row r="27" ht="30" customHeight="1" s="74">
      <c r="A27" s="13" t="n">
        <v>24</v>
      </c>
      <c r="B27" s="14" t="inlineStr">
        <is>
          <t>Veidekke Industri AS – Møre</t>
        </is>
      </c>
      <c r="C27" s="15" t="inlineStr">
        <is>
          <t>Aktiv</t>
        </is>
      </c>
      <c r="D27" s="16" t="inlineStr">
        <is>
          <t>Standardtabell 0-99</t>
        </is>
      </c>
      <c r="E27" s="16" t="inlineStr">
        <is>
          <t>kr 2 960 / mnd</t>
        </is>
      </c>
      <c r="F27" s="17" t="inlineStr">
        <is>
          <t>0–99 samtaler</t>
        </is>
      </c>
      <c r="G27" s="18" t="inlineStr">
        <is>
          <t>Kø 3792 · Kunde nr 32722</t>
        </is>
      </c>
      <c r="H27" s="19" t="n">
        <v>42</v>
      </c>
      <c r="I27" s="20">
        <f>IF(H27="–","–",IFERROR(VLOOKUP(H27,Tabeller!$A$2:$B$35,2,TRUE()),2960))</f>
        <v/>
      </c>
      <c r="J27" s="21" t="n">
        <v>2960</v>
      </c>
      <c r="K27" s="22">
        <f>IF(ISNUMBER(I27),IF(ISNUMBER(J27),J27-I27,""),"–")</f>
        <v/>
      </c>
      <c r="L27" s="71" t="inlineStr">
        <is>
          <t>ok</t>
        </is>
      </c>
    </row>
    <row r="28" ht="30" customHeight="1" s="74">
      <c r="A28" s="3" t="n">
        <v>25</v>
      </c>
      <c r="B28" s="29" t="inlineStr">
        <is>
          <t>Veidekke Industri AS – Sogn(60309)</t>
        </is>
      </c>
      <c r="C28" s="5" t="inlineStr">
        <is>
          <t>Aktiv</t>
        </is>
      </c>
      <c r="D28" s="6" t="inlineStr">
        <is>
          <t>Standardtabell 0-99</t>
        </is>
      </c>
      <c r="E28" s="6" t="inlineStr">
        <is>
          <t>kr 2 960 / mnd</t>
        </is>
      </c>
      <c r="F28" s="7" t="inlineStr">
        <is>
          <t>0–99 samtaler</t>
        </is>
      </c>
      <c r="G28" s="24" t="inlineStr">
        <is>
          <t>Kø 4509 · Oppstart mars 2026. Kunde 33197</t>
        </is>
      </c>
      <c r="H28" s="9" t="n">
        <v>42</v>
      </c>
      <c r="I28" s="10">
        <f>IF(H28="–","–",IFERROR(VLOOKUP(H28,Tabeller!$A$2:$B$35,2,TRUE()),2960))</f>
        <v/>
      </c>
      <c r="J28" s="11" t="n">
        <v>2960</v>
      </c>
      <c r="K28" s="12">
        <f>IF(ISNUMBER(I28),IF(ISNUMBER(J28),J28-I28,""),"–")</f>
        <v/>
      </c>
      <c r="L28" s="71" t="inlineStr">
        <is>
          <t>OK</t>
        </is>
      </c>
    </row>
    <row r="30" ht="18" customHeight="1" s="74">
      <c r="A30" s="76" t="inlineStr">
        <is>
          <t>FAST PRIS + STYKKPRIS  (individuelle avtaler)</t>
        </is>
      </c>
      <c r="B30" s="69" t="n"/>
      <c r="C30" s="69" t="n"/>
      <c r="D30" s="69" t="n"/>
      <c r="E30" s="69" t="n"/>
      <c r="F30" s="69" t="n"/>
      <c r="G30" s="69" t="n"/>
      <c r="H30" s="69" t="n"/>
      <c r="I30" s="69" t="n"/>
      <c r="J30" s="69" t="n"/>
      <c r="K30" s="70" t="n"/>
    </row>
    <row r="31" ht="30" customHeight="1" s="74">
      <c r="A31" s="3" t="n">
        <v>26</v>
      </c>
      <c r="B31" s="4" t="inlineStr">
        <is>
          <t>Advokat Henjum AS</t>
        </is>
      </c>
      <c r="C31" s="5" t="inlineStr">
        <is>
          <t>Aktiv</t>
        </is>
      </c>
      <c r="D31" s="6" t="inlineStr">
        <is>
          <t>Fast pris + stykkpris</t>
        </is>
      </c>
      <c r="E31" s="6" t="inlineStr">
        <is>
          <t>kr 920 / mnd inkl. 20 anrop + kr 46 / anrop over 20</t>
        </is>
      </c>
      <c r="F31" s="7" t="inlineStr">
        <is>
          <t>0–20 anrop</t>
        </is>
      </c>
      <c r="G31" s="8" t="inlineStr">
        <is>
          <t>Feilaktig markert sagt opp – aktiv per juni 2026</t>
        </is>
      </c>
      <c r="H31" s="25" t="n">
        <v>20</v>
      </c>
      <c r="I31" s="10">
        <f>IF(H31="–",920,920+MAX(0,H31-20)*46)</f>
        <v/>
      </c>
      <c r="J31" s="11" t="n">
        <v>920</v>
      </c>
      <c r="K31" s="12">
        <f>IF(ISNUMBER(I31),IF(ISNUMBER(J31),J31-I31,""),"–")</f>
        <v/>
      </c>
      <c r="L31" s="71" t="inlineStr">
        <is>
          <t>ok</t>
        </is>
      </c>
    </row>
    <row r="32" ht="30" customHeight="1" s="74">
      <c r="A32" s="13" t="n">
        <v>27</v>
      </c>
      <c r="B32" s="14" t="inlineStr">
        <is>
          <t>Compass Group Norge AS (Veidekke-hovednummer)</t>
        </is>
      </c>
      <c r="C32" s="15" t="inlineStr">
        <is>
          <t>Aktiv</t>
        </is>
      </c>
      <c r="D32" s="16" t="inlineStr">
        <is>
          <t>Fast pris + stykkpris + e-post</t>
        </is>
      </c>
      <c r="E32" s="30" t="inlineStr">
        <is>
          <t xml:space="preserve">kr 17 000 / mnd inkl. 800 anrop + kr 26 / over 800 </t>
        </is>
      </c>
      <c r="F32" s="17" t="inlineStr">
        <is>
          <t>0–800 anrop</t>
        </is>
      </c>
      <c r="G32" s="18" t="inlineStr">
        <is>
          <t>Kø 3082 · Juni: 475 anrop + 1 776 e-poster × kr 10 = kr 17 760. Bekreftet av Geir</t>
        </is>
      </c>
      <c r="H32" s="19" t="n">
        <v>457</v>
      </c>
      <c r="I32" s="20">
        <f>IF(H32="–","–",17000+MAX(0,H32-800)*26)</f>
        <v/>
      </c>
      <c r="J32" s="21" t="n">
        <v>17000</v>
      </c>
      <c r="K32" s="22">
        <f>IF(ISNUMBER(I32),IF(ISNUMBER(J32),J32-I32,""),"–")</f>
        <v/>
      </c>
      <c r="L32" s="71" t="inlineStr">
        <is>
          <t>ok</t>
        </is>
      </c>
      <c r="M32" s="73" t="n"/>
    </row>
    <row r="33" ht="30" customHeight="1" s="74">
      <c r="A33" s="3" t="n">
        <v>28</v>
      </c>
      <c r="B33" s="4" t="inlineStr">
        <is>
          <t>Veidekke – e-posthåndtering</t>
        </is>
      </c>
      <c r="C33" s="5" t="inlineStr">
        <is>
          <t>Aktiv</t>
        </is>
      </c>
      <c r="D33" s="6" t="inlineStr">
        <is>
          <t>Stykkpris</t>
        </is>
      </c>
      <c r="E33" s="6" t="inlineStr">
        <is>
          <t>kr 10 / e-post (telles manuelt)</t>
        </is>
      </c>
      <c r="F33" s="7" t="inlineStr">
        <is>
          <t>Per videresendelse</t>
        </is>
      </c>
      <c r="G33" s="24" t="inlineStr">
        <is>
          <t>Tillegg i Compass Group-fakturaen – faktureres separat for å håndtere e-postene</t>
        </is>
      </c>
      <c r="H33" s="25" t="n">
        <v>1662</v>
      </c>
      <c r="I33" s="10" t="n">
        <v>16620</v>
      </c>
      <c r="J33" s="11" t="n">
        <v>16620</v>
      </c>
      <c r="K33" s="22">
        <f>IF(ISNUMBER(I33),IF(ISNUMBER(J33),J33-I33,""),"–")</f>
        <v/>
      </c>
      <c r="L33" s="71" t="inlineStr">
        <is>
          <t>ok</t>
        </is>
      </c>
      <c r="M33" s="71" t="inlineStr">
        <is>
          <t>1662 eposter a kr 10,-</t>
        </is>
      </c>
    </row>
    <row r="34" ht="30" customHeight="1" s="74">
      <c r="A34" s="13" t="n">
        <v>29</v>
      </c>
      <c r="B34" s="14" t="inlineStr">
        <is>
          <t>Frano AS</t>
        </is>
      </c>
      <c r="C34" s="15" t="inlineStr">
        <is>
          <t>Aktiv</t>
        </is>
      </c>
      <c r="D34" s="16" t="inlineStr">
        <is>
          <t>Fast pris + stykkpris</t>
        </is>
      </c>
      <c r="E34" s="16" t="inlineStr">
        <is>
          <t>kr 195 fast / mnd + kr 29 / anrop</t>
        </is>
      </c>
      <c r="F34" s="17" t="inlineStr">
        <is>
          <t>Ingen inkludert</t>
        </is>
      </c>
      <c r="G34" s="18" t="n"/>
      <c r="H34" s="19" t="n">
        <v>9</v>
      </c>
      <c r="I34" s="20">
        <f>IF(H34="–","–",195+H34*29)</f>
        <v/>
      </c>
      <c r="J34" s="21" t="n">
        <v>456</v>
      </c>
      <c r="K34" s="22">
        <f>IF(ISNUMBER(I34),IF(ISNUMBER(J34),J34-I34,""),"–")</f>
        <v/>
      </c>
      <c r="L34" s="71" t="inlineStr">
        <is>
          <t>ok</t>
        </is>
      </c>
    </row>
    <row r="35" ht="30" customHeight="1" s="74">
      <c r="A35" s="3" t="n">
        <v>30</v>
      </c>
      <c r="B35" s="4" t="inlineStr">
        <is>
          <t>Funksjonell Medisinsk Klinikk AS</t>
        </is>
      </c>
      <c r="C35" s="5" t="inlineStr">
        <is>
          <t>Aktiv</t>
        </is>
      </c>
      <c r="D35" s="6" t="inlineStr">
        <is>
          <t>Fast pris + stykkpris</t>
        </is>
      </c>
      <c r="E35" s="6" t="inlineStr">
        <is>
          <t>kr 840 / mnd inkl. 20 anrop + kr 42 / anrop over 20 (betaler alltid grunnpris)</t>
        </is>
      </c>
      <c r="F35" s="7" t="inlineStr">
        <is>
          <t>0–20 anrop</t>
        </is>
      </c>
      <c r="G35" s="8" t="inlineStr">
        <is>
          <t>13 anrop i juni · Betaler alltid 840 grunnpris uansett volum</t>
        </is>
      </c>
      <c r="H35" s="9" t="n">
        <v>25</v>
      </c>
      <c r="I35" s="10" t="n">
        <v>1050</v>
      </c>
      <c r="J35" s="11" t="n">
        <v>1050</v>
      </c>
      <c r="K35" s="12">
        <f>IF(ISNUMBER(I35),IF(ISNUMBER(J35),J35-I35,""),"–")</f>
        <v/>
      </c>
      <c r="L35" s="71" t="inlineStr">
        <is>
          <t>ok</t>
        </is>
      </c>
      <c r="M35" s="66" t="inlineStr">
        <is>
          <t>endret fra 805 til 1050</t>
        </is>
      </c>
      <c r="N35" s="66" t="n"/>
      <c r="O35" s="66" t="n"/>
      <c r="P35" s="66" t="n"/>
    </row>
    <row r="36" ht="30" customHeight="1" s="74">
      <c r="A36" s="13" t="n">
        <v>31</v>
      </c>
      <c r="B36" s="14" t="inlineStr">
        <is>
          <t>Fysiodirekte AS</t>
        </is>
      </c>
      <c r="C36" s="15" t="inlineStr">
        <is>
          <t>Aktiv</t>
        </is>
      </c>
      <c r="D36" s="16" t="inlineStr">
        <is>
          <t>Fast pris + stykkpris</t>
        </is>
      </c>
      <c r="E36" s="16" t="inlineStr">
        <is>
          <t>kr 805 / mnd inkl. 20 anrop + kr 40 / anrop over 20 (betaler alltid grunnpris)</t>
        </is>
      </c>
      <c r="F36" s="17" t="inlineStr">
        <is>
          <t>0–20 anrop</t>
        </is>
      </c>
      <c r="G36" s="18" t="inlineStr">
        <is>
          <t>Betaler grunnpris selv uten anrop</t>
        </is>
      </c>
      <c r="H36" s="19" t="n">
        <v>0</v>
      </c>
      <c r="I36" s="20">
        <f>805</f>
        <v/>
      </c>
      <c r="J36" s="21" t="n">
        <v>805</v>
      </c>
      <c r="K36" s="22">
        <f>IF(ISNUMBER(I36),IF(ISNUMBER(J36),J36-I36,""),"–")</f>
        <v/>
      </c>
      <c r="L36" s="71" t="inlineStr">
        <is>
          <t>ok</t>
        </is>
      </c>
    </row>
    <row r="37" ht="30" customHeight="1" s="74">
      <c r="A37" s="3" t="n">
        <v>32</v>
      </c>
      <c r="B37" s="4" t="inlineStr">
        <is>
          <t>Gulvfag Norge AS</t>
        </is>
      </c>
      <c r="C37" s="5" t="inlineStr">
        <is>
          <t>Aktiv</t>
        </is>
      </c>
      <c r="D37" s="6" t="inlineStr">
        <is>
          <t>Fast pris + stykkpris + tillegg</t>
        </is>
      </c>
      <c r="E37" s="6" t="inlineStr">
        <is>
          <t>kr 700 / mnd inkl. 20 + kr 36 / over 20 + 3 × kr 139 tilknytning</t>
        </is>
      </c>
      <c r="F37" s="7" t="inlineStr">
        <is>
          <t>0–20 anrop</t>
        </is>
      </c>
      <c r="G37" s="8" t="inlineStr">
        <is>
          <t>3 tillegg: Nye Gulv Norge (1 anrop) + Adler Parkettsliperi (17) + Hytteguttene · Totalt 46 anrop, 26 over 20</t>
        </is>
      </c>
      <c r="H37" s="9" t="n">
        <v>36</v>
      </c>
      <c r="I37" s="10">
        <f>IF(H37="–","–",700+MAX(0,H37-20)*36+3*139)</f>
        <v/>
      </c>
      <c r="J37" s="11" t="n">
        <v>1693</v>
      </c>
      <c r="K37" s="12">
        <f>IF(ISNUMBER(I37),IF(ISNUMBER(J37),J37-I37,""),"–")</f>
        <v/>
      </c>
      <c r="L37" s="71" t="inlineStr">
        <is>
          <t>ok</t>
        </is>
      </c>
    </row>
    <row r="38" ht="30" customHeight="1" s="74">
      <c r="A38" s="13" t="n">
        <v>33</v>
      </c>
      <c r="B38" s="14" t="inlineStr">
        <is>
          <t>Gunvaldsen og sønn AS</t>
        </is>
      </c>
      <c r="C38" s="15" t="inlineStr">
        <is>
          <t>Aktiv</t>
        </is>
      </c>
      <c r="D38" s="16" t="inlineStr">
        <is>
          <t>Fast pris + stykkpris</t>
        </is>
      </c>
      <c r="E38" s="16" t="inlineStr">
        <is>
          <t>kr 1 180 / mnd inkl. 40 anrop + kr 27 / anrop over 40</t>
        </is>
      </c>
      <c r="F38" s="17" t="inlineStr">
        <is>
          <t>0–40 anrop</t>
        </is>
      </c>
      <c r="G38" s="18" t="n"/>
      <c r="H38" s="19" t="n">
        <v>57</v>
      </c>
      <c r="I38" s="20">
        <f>IF(H38="–","–",1180+MAX(0,H38-40)*27)</f>
        <v/>
      </c>
      <c r="J38" s="21" t="n">
        <v>1639</v>
      </c>
      <c r="K38" s="22">
        <f>IF(ISNUMBER(I38),IF(ISNUMBER(J38),J38-I38,""),"–")</f>
        <v/>
      </c>
      <c r="L38" s="71" t="inlineStr">
        <is>
          <t>ok</t>
        </is>
      </c>
    </row>
    <row r="39" ht="30" customHeight="1" s="74">
      <c r="A39" s="3" t="n">
        <v>34</v>
      </c>
      <c r="B39" s="4" t="inlineStr">
        <is>
          <t>IKT Nor AS</t>
        </is>
      </c>
      <c r="C39" s="5" t="inlineStr">
        <is>
          <t>Aktiv</t>
        </is>
      </c>
      <c r="D39" s="6" t="inlineStr">
        <is>
          <t>Fast pris + stykkpris</t>
        </is>
      </c>
      <c r="E39" s="6" t="inlineStr">
        <is>
          <t>kr 860 / mnd inkl. 20 anrop + kr 42 / anrop over 20</t>
        </is>
      </c>
      <c r="F39" s="7" t="inlineStr">
        <is>
          <t>0–20 anrop</t>
        </is>
      </c>
      <c r="G39" s="8" t="n"/>
      <c r="H39" s="9" t="n">
        <v>19</v>
      </c>
      <c r="I39" s="10">
        <f>IF(H39="–","–",860+MAX(0,H39-20)*42)</f>
        <v/>
      </c>
      <c r="J39" s="11" t="n">
        <v>860</v>
      </c>
      <c r="K39" s="12">
        <f>IF(ISNUMBER(I39),IF(ISNUMBER(J39),J39-I39,""),"–")</f>
        <v/>
      </c>
      <c r="L39" s="71" t="inlineStr">
        <is>
          <t>ok</t>
        </is>
      </c>
    </row>
    <row r="40" ht="30" customHeight="1" s="74">
      <c r="A40" s="13" t="n">
        <v>35</v>
      </c>
      <c r="B40" s="14" t="inlineStr">
        <is>
          <t>Invicta AS</t>
        </is>
      </c>
      <c r="C40" s="15" t="inlineStr">
        <is>
          <t>Aktiv</t>
        </is>
      </c>
      <c r="D40" s="16" t="inlineStr">
        <is>
          <t>Fast pris + stykkpris</t>
        </is>
      </c>
      <c r="E40" s="16" t="inlineStr">
        <is>
          <t>kr 2 900 / mnd base + kr 18 / anrop over 200</t>
        </is>
      </c>
      <c r="F40" s="17" t="inlineStr">
        <is>
          <t>0–200 anrop</t>
        </is>
      </c>
      <c r="G40" s="18" t="n"/>
      <c r="H40" s="19" t="n">
        <v>93</v>
      </c>
      <c r="I40" s="20">
        <f>IF(H40="–","–",2900+MAX(0,H40-200)*18)</f>
        <v/>
      </c>
      <c r="J40" s="21" t="n">
        <v>2900</v>
      </c>
      <c r="K40" s="22">
        <f>IF(ISNUMBER(I40),IF(ISNUMBER(J40),J40-I40,""),"–")</f>
        <v/>
      </c>
      <c r="L40" s="71" t="inlineStr">
        <is>
          <t>ok</t>
        </is>
      </c>
    </row>
    <row r="41" ht="30" customHeight="1" s="74">
      <c r="A41" s="3" t="n">
        <v>36</v>
      </c>
      <c r="B41" s="4" t="inlineStr">
        <is>
          <t>JCDecaux Norge AS</t>
        </is>
      </c>
      <c r="C41" s="5" t="inlineStr">
        <is>
          <t>Aktiv</t>
        </is>
      </c>
      <c r="D41" s="6" t="inlineStr">
        <is>
          <t>Fast pris + stykkpris</t>
        </is>
      </c>
      <c r="E41" s="6" t="inlineStr">
        <is>
          <t>kr 2 000 / mnd inkl. 20 anrop + kr 40 / anrop over 20 (ny pris juni 2026)</t>
        </is>
      </c>
      <c r="F41" s="7" t="inlineStr">
        <is>
          <t>0–20 anrop</t>
        </is>
      </c>
      <c r="G41" s="8" t="inlineStr">
        <is>
          <t>Ny pris fra juni 2026 (tidl. kr 4 480)</t>
        </is>
      </c>
      <c r="H41" s="9" t="n">
        <v>8</v>
      </c>
      <c r="I41" s="10">
        <f>IF(H41="–",2000,2000+MAX(0,H41-20)*40)</f>
        <v/>
      </c>
      <c r="J41" s="11" t="n">
        <v>2000</v>
      </c>
      <c r="K41" s="12">
        <f>IF(ISNUMBER(I41),IF(ISNUMBER(J41),J41-I41,""),"–")</f>
        <v/>
      </c>
      <c r="L41" s="71" t="inlineStr">
        <is>
          <t>ok</t>
        </is>
      </c>
    </row>
    <row r="42" ht="30" customHeight="1" s="74">
      <c r="A42" s="13" t="n">
        <v>37</v>
      </c>
      <c r="B42" s="14" t="inlineStr">
        <is>
          <t>Kontroll Elektro AS</t>
        </is>
      </c>
      <c r="C42" s="15" t="inlineStr">
        <is>
          <t>Aktiv</t>
        </is>
      </c>
      <c r="D42" s="16" t="inlineStr">
        <is>
          <t>Fast pris + stykkpris</t>
        </is>
      </c>
      <c r="E42" s="16" t="inlineStr">
        <is>
          <t>kr 860 / mnd inkl. 20 anrop + kr 42 / anrop over 20</t>
        </is>
      </c>
      <c r="F42" s="17" t="inlineStr">
        <is>
          <t>0–20 anrop</t>
        </is>
      </c>
      <c r="G42" s="18" t="n"/>
      <c r="H42" s="19" t="n">
        <v>11</v>
      </c>
      <c r="I42" s="20">
        <f>IF(H42="–","–",860+MAX(0,H42-20)*42)</f>
        <v/>
      </c>
      <c r="J42" s="21" t="n">
        <v>860</v>
      </c>
      <c r="K42" s="22">
        <f>IF(ISNUMBER(I42),IF(ISNUMBER(J42),J42-I42,""),"–")</f>
        <v/>
      </c>
      <c r="L42" s="71" t="inlineStr">
        <is>
          <t>ok</t>
        </is>
      </c>
    </row>
    <row r="43" ht="30" customHeight="1" s="74">
      <c r="A43" s="3" t="n">
        <v>38</v>
      </c>
      <c r="B43" s="4" t="inlineStr">
        <is>
          <t>Meavia AS / Bekkestua Psykologen</t>
        </is>
      </c>
      <c r="C43" s="5" t="inlineStr">
        <is>
          <t>Aktiv</t>
        </is>
      </c>
      <c r="D43" s="6" t="inlineStr">
        <is>
          <t>Fast pris + stykkpris</t>
        </is>
      </c>
      <c r="E43" s="6" t="inlineStr">
        <is>
          <t>kr 199 fast / mnd + kr 42 / anrop</t>
        </is>
      </c>
      <c r="F43" s="7" t="inlineStr">
        <is>
          <t>Ingen inkludert</t>
        </is>
      </c>
      <c r="G43" s="8" t="n"/>
      <c r="H43" s="9" t="n">
        <v>23</v>
      </c>
      <c r="I43" s="10">
        <f>IF(H43="–","–",199+H43*42)</f>
        <v/>
      </c>
      <c r="J43" s="11" t="n">
        <v>1165</v>
      </c>
      <c r="K43" s="12">
        <f>IF(ISNUMBER(I43),IF(ISNUMBER(J43),J43-I43,""),"–")</f>
        <v/>
      </c>
      <c r="L43" s="71" t="inlineStr">
        <is>
          <t>ok</t>
        </is>
      </c>
    </row>
    <row r="44" ht="30" customHeight="1" s="74">
      <c r="A44" s="13" t="n">
        <v>39</v>
      </c>
      <c r="B44" s="14" t="inlineStr">
        <is>
          <t>PC Vennen AS</t>
        </is>
      </c>
      <c r="C44" s="15" t="inlineStr">
        <is>
          <t>Aktiv</t>
        </is>
      </c>
      <c r="D44" s="16" t="inlineStr">
        <is>
          <t>Fast grunnpris</t>
        </is>
      </c>
      <c r="E44" s="16" t="inlineStr">
        <is>
          <t>kr 3 010 / mnd inkl. 149 anrop</t>
        </is>
      </c>
      <c r="F44" s="17" t="inlineStr">
        <is>
          <t>0–149 anrop</t>
        </is>
      </c>
      <c r="G44" s="18" t="inlineStr">
        <is>
          <t>Kontakt: Harald Brevig</t>
        </is>
      </c>
      <c r="H44" s="19" t="n">
        <v>72</v>
      </c>
      <c r="I44" s="20">
        <f>3010</f>
        <v/>
      </c>
      <c r="J44" s="21" t="n">
        <v>3010</v>
      </c>
      <c r="K44" s="22">
        <f>IF(ISNUMBER(I44),IF(ISNUMBER(J44),J44-I44,""),"–")</f>
        <v/>
      </c>
      <c r="L44" s="71" t="inlineStr">
        <is>
          <t>ok</t>
        </is>
      </c>
    </row>
    <row r="45" ht="30" customHeight="1" s="74">
      <c r="A45" s="3" t="n">
        <v>40</v>
      </c>
      <c r="B45" s="4" t="inlineStr">
        <is>
          <t>Philips Norge AS</t>
        </is>
      </c>
      <c r="C45" s="5" t="inlineStr">
        <is>
          <t>Aktiv</t>
        </is>
      </c>
      <c r="D45" s="31" t="inlineStr">
        <is>
          <t>Fast pris + stykkpris</t>
        </is>
      </c>
      <c r="E45" s="31" t="inlineStr">
        <is>
          <t>kr 8 110 / mnd + kr 18 / anrop over 499</t>
        </is>
      </c>
      <c r="F45" s="7" t="inlineStr">
        <is>
          <t>0–499 anrop</t>
        </is>
      </c>
      <c r="G45" s="8" t="n"/>
      <c r="H45" s="9" t="n">
        <v>162</v>
      </c>
      <c r="I45" s="10" t="n">
        <v>8110</v>
      </c>
      <c r="J45" s="11" t="n">
        <v>8110</v>
      </c>
      <c r="K45" s="12">
        <f>IF(ISNUMBER(I45),IF(ISNUMBER(J45),J45-I45,""),"–")</f>
        <v/>
      </c>
      <c r="L45" s="71" t="inlineStr">
        <is>
          <t>ok</t>
        </is>
      </c>
      <c r="M45" s="73" t="n"/>
    </row>
    <row r="46" ht="30" customHeight="1" s="74">
      <c r="A46" s="13" t="n">
        <v>41</v>
      </c>
      <c r="B46" s="14" t="inlineStr">
        <is>
          <t>Positiv Trafikkskole AS</t>
        </is>
      </c>
      <c r="C46" s="15" t="inlineStr">
        <is>
          <t>Aktiv</t>
        </is>
      </c>
      <c r="D46" s="16" t="inlineStr">
        <is>
          <t>Fast pris + stykkpris</t>
        </is>
      </c>
      <c r="E46" s="16" t="inlineStr">
        <is>
          <t>kr 515 / mnd + kr 42 / anrop</t>
        </is>
      </c>
      <c r="F46" s="17" t="inlineStr">
        <is>
          <t>Ingen inkludert</t>
        </is>
      </c>
      <c r="G46" s="18" t="n"/>
      <c r="H46" s="19" t="n">
        <v>17</v>
      </c>
      <c r="I46" s="20">
        <f>IF(H46="–","–",515+H46*42)</f>
        <v/>
      </c>
      <c r="J46" s="21" t="n">
        <v>1229</v>
      </c>
      <c r="K46" s="22">
        <f>IF(ISNUMBER(I46),IF(ISNUMBER(J46),J46-I46,""),"–")</f>
        <v/>
      </c>
      <c r="L46" s="71" t="inlineStr">
        <is>
          <t>ok</t>
        </is>
      </c>
      <c r="M46" s="72" t="inlineStr">
        <is>
          <t>Lå kr 1103, endret til 1229</t>
        </is>
      </c>
      <c r="N46" s="72" t="n"/>
      <c r="O46" s="72" t="n"/>
    </row>
    <row r="47" ht="30" customHeight="1" s="74">
      <c r="A47" s="3" t="n">
        <v>42</v>
      </c>
      <c r="B47" s="4" t="inlineStr">
        <is>
          <t>Prevas AS</t>
        </is>
      </c>
      <c r="C47" s="5" t="inlineStr">
        <is>
          <t>Aktiv</t>
        </is>
      </c>
      <c r="D47" s="6" t="inlineStr">
        <is>
          <t>Fast pris + stykkpris</t>
        </is>
      </c>
      <c r="E47" s="6" t="inlineStr">
        <is>
          <t>kr 199 fast / mnd + kr 46 / anrop</t>
        </is>
      </c>
      <c r="F47" s="7" t="inlineStr">
        <is>
          <t>Ingen inkludert</t>
        </is>
      </c>
      <c r="G47" s="8" t="n"/>
      <c r="H47" s="9" t="n">
        <v>11</v>
      </c>
      <c r="I47" s="10">
        <f>IF(H47="–","–",199+H47*46)</f>
        <v/>
      </c>
      <c r="J47" s="11" t="n">
        <v>705</v>
      </c>
      <c r="K47" s="12">
        <f>IF(ISNUMBER(I47),IF(ISNUMBER(J47),J47-I47,""),"–")</f>
        <v/>
      </c>
      <c r="L47" s="71" t="inlineStr">
        <is>
          <t>ok</t>
        </is>
      </c>
      <c r="M47" s="72" t="inlineStr">
        <is>
          <t>Lå kr 245,- endret til 705,-</t>
        </is>
      </c>
      <c r="N47" s="72" t="n"/>
      <c r="O47" s="72" t="n"/>
    </row>
    <row r="48" ht="30" customHeight="1" s="74">
      <c r="A48" s="13" t="n">
        <v>43</v>
      </c>
      <c r="B48" s="14" t="inlineStr">
        <is>
          <t>Safari Planter AS</t>
        </is>
      </c>
      <c r="C48" s="15" t="inlineStr">
        <is>
          <t>Aktiv</t>
        </is>
      </c>
      <c r="D48" s="16" t="inlineStr">
        <is>
          <t>Fast pris + stykkpris</t>
        </is>
      </c>
      <c r="E48" s="16" t="inlineStr">
        <is>
          <t>kr 199 grunnpris / mnd + kr 46 / anrop</t>
        </is>
      </c>
      <c r="F48" s="17" t="inlineStr">
        <is>
          <t>Ingen inkludert</t>
        </is>
      </c>
      <c r="G48" s="18" t="n"/>
      <c r="H48" s="19" t="n">
        <v>4</v>
      </c>
      <c r="I48" s="20">
        <f>IF(H48="–","–",199+H48*46)</f>
        <v/>
      </c>
      <c r="J48" s="21" t="n">
        <v>383</v>
      </c>
      <c r="K48" s="22">
        <f>IF(ISNUMBER(I48),IF(ISNUMBER(J48),J48-I48,""),"–")</f>
        <v/>
      </c>
      <c r="L48" s="71" t="inlineStr">
        <is>
          <t>ok</t>
        </is>
      </c>
      <c r="M48" s="72" t="inlineStr">
        <is>
          <t>endret fra 291,- til 383,-</t>
        </is>
      </c>
      <c r="N48" s="72" t="n"/>
      <c r="O48" s="72" t="n"/>
    </row>
    <row r="49" ht="30" customHeight="1" s="74">
      <c r="A49" s="3" t="n">
        <v>44</v>
      </c>
      <c r="B49" s="4" t="inlineStr">
        <is>
          <t>Tropisk Design AS</t>
        </is>
      </c>
      <c r="C49" s="5" t="inlineStr">
        <is>
          <t>Aktiv</t>
        </is>
      </c>
      <c r="D49" s="6" t="inlineStr">
        <is>
          <t>Fast pris + stykkpris</t>
        </is>
      </c>
      <c r="E49" s="6" t="inlineStr">
        <is>
          <t>kr 880 / mnd inkl. 20 anrop + kr 45 / anrop over 20</t>
        </is>
      </c>
      <c r="F49" s="7" t="inlineStr">
        <is>
          <t>0–20 anrop</t>
        </is>
      </c>
      <c r="G49" s="8" t="n"/>
      <c r="H49" s="9" t="n">
        <v>21</v>
      </c>
      <c r="I49" s="10">
        <f>IF(H49="–","–",880+MAX(0,H49-20)*45)</f>
        <v/>
      </c>
      <c r="J49" s="11" t="n">
        <v>925</v>
      </c>
      <c r="K49" s="12">
        <f>IF(ISNUMBER(I49),IF(ISNUMBER(J49),J49-I49,""),"–")</f>
        <v/>
      </c>
      <c r="L49" s="71" t="inlineStr">
        <is>
          <t>ok</t>
        </is>
      </c>
      <c r="M49" s="66" t="inlineStr">
        <is>
          <t>endret fra 880 til 925</t>
        </is>
      </c>
      <c r="N49" s="66" t="n"/>
      <c r="O49" s="66" t="n"/>
    </row>
    <row r="50" ht="30" customHeight="1" s="74">
      <c r="A50" s="13" t="n">
        <v>45</v>
      </c>
      <c r="B50" s="14" t="inlineStr">
        <is>
          <t>Vika Fysikalske Institutt AS</t>
        </is>
      </c>
      <c r="C50" s="15" t="inlineStr">
        <is>
          <t>Aktiv</t>
        </is>
      </c>
      <c r="D50" s="16" t="inlineStr">
        <is>
          <t>Fast pris + volumtabell</t>
        </is>
      </c>
      <c r="E50" s="16" t="inlineStr">
        <is>
          <t>kr 199 fast + kr 790 rapporter + volumtabell (31–40: 1 640)</t>
        </is>
      </c>
      <c r="F50" s="17" t="inlineStr">
        <is>
          <t>Volumtabell</t>
        </is>
      </c>
      <c r="G50" s="18" t="n"/>
      <c r="H50" s="19" t="n">
        <v>71</v>
      </c>
      <c r="I50" s="20" t="n">
        <v>3589</v>
      </c>
      <c r="J50" s="21" t="n">
        <v>3589</v>
      </c>
      <c r="K50" s="22">
        <f>IF(ISNUMBER(I50),IF(ISNUMBER(J50),J50-I50,""),"–")</f>
        <v/>
      </c>
      <c r="L50" s="71" t="inlineStr">
        <is>
          <t>ok</t>
        </is>
      </c>
      <c r="M50" s="72" t="inlineStr">
        <is>
          <t>endret fra 2629 til 3589</t>
        </is>
      </c>
      <c r="N50" s="72" t="n"/>
      <c r="O50" s="72" t="n"/>
    </row>
    <row r="51" ht="30" customHeight="1" s="74">
      <c r="A51" s="3" t="n">
        <v>46</v>
      </c>
      <c r="B51" s="4" t="inlineStr">
        <is>
          <t>Zones AS</t>
        </is>
      </c>
      <c r="C51" s="5" t="inlineStr">
        <is>
          <t>Aktiv</t>
        </is>
      </c>
      <c r="D51" s="6" t="inlineStr">
        <is>
          <t>Fast pris + stykkpris</t>
        </is>
      </c>
      <c r="E51" s="6" t="inlineStr">
        <is>
          <t>kr 820 / mnd inkl. 20 anrop + kr 42 / anrop over 20</t>
        </is>
      </c>
      <c r="F51" s="7" t="inlineStr">
        <is>
          <t>0–20 anrop</t>
        </is>
      </c>
      <c r="G51" s="8" t="inlineStr">
        <is>
          <t>Back-up løsning</t>
        </is>
      </c>
      <c r="H51" s="9" t="n">
        <v>2</v>
      </c>
      <c r="I51" s="10">
        <f>820</f>
        <v/>
      </c>
      <c r="J51" s="11" t="n">
        <v>820</v>
      </c>
      <c r="K51" s="12">
        <f>IF(ISNUMBER(I51),IF(ISNUMBER(J51),J51-I51,""),"–")</f>
        <v/>
      </c>
      <c r="L51" s="71" t="inlineStr">
        <is>
          <t>ok</t>
        </is>
      </c>
    </row>
    <row r="53" ht="18" customHeight="1" s="74">
      <c r="A53" s="76" t="inlineStr">
        <is>
          <t>CEG-TABELL  (20-trinns trappetabell – NEMUS delt per klinikk)</t>
        </is>
      </c>
      <c r="B53" s="69" t="n"/>
      <c r="C53" s="69" t="n"/>
      <c r="D53" s="69" t="n"/>
      <c r="E53" s="69" t="n"/>
      <c r="F53" s="69" t="n"/>
      <c r="G53" s="69" t="n"/>
      <c r="H53" s="69" t="n"/>
      <c r="I53" s="69" t="n"/>
      <c r="J53" s="69" t="n"/>
      <c r="K53" s="70" t="n"/>
    </row>
    <row r="54" ht="30" customHeight="1" s="74">
      <c r="A54" s="3" t="n">
        <v>47</v>
      </c>
      <c r="B54" s="4" t="inlineStr">
        <is>
          <t>CEG Norway AS</t>
        </is>
      </c>
      <c r="C54" s="5" t="inlineStr">
        <is>
          <t>Aktiv</t>
        </is>
      </c>
      <c r="D54" s="6" t="inlineStr">
        <is>
          <t>CEG-tabell</t>
        </is>
      </c>
      <c r="E54" s="6" t="inlineStr">
        <is>
          <t>kr 1 500 / mnd (0–69) og oppover</t>
        </is>
      </c>
      <c r="F54" s="7" t="inlineStr">
        <is>
          <t>0–69 samtaler</t>
        </is>
      </c>
      <c r="G54" s="8" t="n"/>
      <c r="H54" s="9" t="n">
        <v>82</v>
      </c>
      <c r="I54" s="10">
        <f>IF(H54="–","–",IFERROR(VLOOKUP(H54,Tabeller!$D$2:$E$23,2,TRUE()),1500))</f>
        <v/>
      </c>
      <c r="J54" s="11" t="n">
        <v>2280</v>
      </c>
      <c r="K54" s="12">
        <f>IF(ISNUMBER(I54),IF(ISNUMBER(J54),J54-I54,""),"–")</f>
        <v/>
      </c>
      <c r="L54" s="71" t="inlineStr">
        <is>
          <t>ok</t>
        </is>
      </c>
      <c r="M54" s="66" t="inlineStr">
        <is>
          <t>endret fra 1500 til 2280,-</t>
        </is>
      </c>
      <c r="N54" s="66" t="n"/>
      <c r="O54" s="66" t="n"/>
    </row>
    <row r="55" ht="30" customHeight="1" s="74">
      <c r="A55" s="13" t="n">
        <v>48</v>
      </c>
      <c r="B55" s="14" t="inlineStr">
        <is>
          <t>Dental Sør AS</t>
        </is>
      </c>
      <c r="C55" s="15" t="inlineStr">
        <is>
          <t>Aktiv</t>
        </is>
      </c>
      <c r="D55" s="16" t="inlineStr">
        <is>
          <t>CEG-tabell</t>
        </is>
      </c>
      <c r="E55" s="16" t="inlineStr">
        <is>
          <t>kr 1 500 / mnd (0–69) og oppover</t>
        </is>
      </c>
      <c r="F55" s="17" t="inlineStr">
        <is>
          <t>0–69 samtaler</t>
        </is>
      </c>
      <c r="G55" s="18" t="inlineStr">
        <is>
          <t>CEG 20-trinns tabell</t>
        </is>
      </c>
      <c r="H55" s="19" t="n">
        <v>302</v>
      </c>
      <c r="I55" s="20">
        <f>IF(H55="–","–",IFERROR(VLOOKUP(H55,Tabeller!$D$2:$E$23,2,TRUE()),1500))</f>
        <v/>
      </c>
      <c r="J55" s="21" t="n">
        <v>6100</v>
      </c>
      <c r="K55" s="22">
        <f>IF(ISNUMBER(I55),IF(ISNUMBER(J55),J55-I55,""),"–")</f>
        <v/>
      </c>
      <c r="L55" s="71" t="inlineStr">
        <is>
          <t>ok</t>
        </is>
      </c>
    </row>
    <row r="56" ht="30" customHeight="1" s="74">
      <c r="A56" s="3" t="n">
        <v>49</v>
      </c>
      <c r="B56" s="4" t="inlineStr">
        <is>
          <t>Klinikk Øre-nese-hals AS</t>
        </is>
      </c>
      <c r="C56" s="5" t="inlineStr">
        <is>
          <t>Aktiv</t>
        </is>
      </c>
      <c r="D56" s="6" t="inlineStr">
        <is>
          <t>CEG-tabell</t>
        </is>
      </c>
      <c r="E56" s="6" t="inlineStr">
        <is>
          <t>kr 1 500 / mnd (0–69) og oppover</t>
        </is>
      </c>
      <c r="F56" s="7" t="inlineStr">
        <is>
          <t>0–69 samtaler</t>
        </is>
      </c>
      <c r="G56" s="8" t="n"/>
      <c r="H56" s="9" t="n">
        <v>340</v>
      </c>
      <c r="I56" s="10">
        <f>IF(H56="–","–",IFERROR(VLOOKUP(H56,Tabeller!$D$2:$E$23,2,TRUE()),1500))</f>
        <v/>
      </c>
      <c r="J56" s="11" t="n">
        <v>6940</v>
      </c>
      <c r="K56" s="12">
        <f>IF(ISNUMBER(I56),IF(ISNUMBER(J56),J56-I56,""),"–")</f>
        <v/>
      </c>
      <c r="L56" s="71" t="inlineStr">
        <is>
          <t>ok</t>
        </is>
      </c>
    </row>
    <row r="57" ht="30" customHeight="1" s="74">
      <c r="A57" s="13" t="n">
        <v>50</v>
      </c>
      <c r="B57" s="14" t="inlineStr">
        <is>
          <t>NEMUS – Horten Helseklinikk AS</t>
        </is>
      </c>
      <c r="C57" s="15" t="inlineStr">
        <is>
          <t>Aktiv</t>
        </is>
      </c>
      <c r="D57" s="16" t="inlineStr">
        <is>
          <t>CEG-tabell + fastpris tillegg</t>
        </is>
      </c>
      <c r="E57" s="16" t="inlineStr">
        <is>
          <t>kr 115 fast + kr 199 tillegg + CEG-tabell (116 anrop → 3 145)</t>
        </is>
      </c>
      <c r="F57" s="17" t="inlineStr">
        <is>
          <t>Per anrop</t>
        </is>
      </c>
      <c r="G57" s="18" t="inlineStr">
        <is>
          <t>116 anrop i juni → CEG-tier · Totalt kr 3 459 ekskl.</t>
        </is>
      </c>
      <c r="H57" s="19" t="n">
        <v>94</v>
      </c>
      <c r="I57" s="20">
        <f>IF(H57="–","–",IFERROR(VLOOKUP(H57,Tabeller!$D$2:$E$23,2,TRUE()),1500)+199)</f>
        <v/>
      </c>
      <c r="J57" s="21" t="n">
        <v>3069</v>
      </c>
      <c r="K57" s="22">
        <f>IF(ISNUMBER(I57),IF(ISNUMBER(J57),J57-I57,""),"–")</f>
        <v/>
      </c>
      <c r="L57" s="71" t="inlineStr">
        <is>
          <t>ok</t>
        </is>
      </c>
    </row>
    <row r="58" ht="30" customHeight="1" s="74">
      <c r="A58" s="3" t="n">
        <v>51</v>
      </c>
      <c r="B58" s="4" t="inlineStr">
        <is>
          <t>NEMUS – Larvik AS</t>
        </is>
      </c>
      <c r="C58" s="5" t="inlineStr">
        <is>
          <t>Aktiv</t>
        </is>
      </c>
      <c r="D58" s="6" t="inlineStr">
        <is>
          <t>CEG-tabell + fastpris tillegg</t>
        </is>
      </c>
      <c r="E58" s="6" t="inlineStr">
        <is>
          <t>kr 115 fast + kr 199 tillegg + CEG-tabell (0 anrop → 0)</t>
        </is>
      </c>
      <c r="F58" s="7" t="inlineStr">
        <is>
          <t>Per anrop</t>
        </is>
      </c>
      <c r="G58" s="8" t="inlineStr">
        <is>
          <t>0 anrop i juni → kun fastpris + tillegg = kr 1 699 ekskl.</t>
        </is>
      </c>
      <c r="H58" s="9" t="n">
        <v>64</v>
      </c>
      <c r="I58" s="10">
        <f>IF(H58="–","–",IFERROR(VLOOKUP(H58,Tabeller!$D$2:$E$23,2,TRUE()),1500)+199)</f>
        <v/>
      </c>
      <c r="J58" s="11" t="n">
        <v>1699</v>
      </c>
      <c r="K58" s="12">
        <f>IF(ISNUMBER(I58),IF(ISNUMBER(J58),J58-I58,""),"–")</f>
        <v/>
      </c>
      <c r="L58" s="71" t="inlineStr">
        <is>
          <t>ok</t>
        </is>
      </c>
    </row>
    <row r="59" ht="30" customHeight="1" s="74">
      <c r="A59" s="13" t="n">
        <v>52</v>
      </c>
      <c r="B59" s="14" t="inlineStr">
        <is>
          <t>NEMUS – Nøtterøy Helseklinikk AS</t>
        </is>
      </c>
      <c r="C59" s="15" t="inlineStr">
        <is>
          <t>Aktiv</t>
        </is>
      </c>
      <c r="D59" s="16" t="inlineStr">
        <is>
          <t>CEG-tabell + fastpris tillegg</t>
        </is>
      </c>
      <c r="E59" s="16" t="inlineStr">
        <is>
          <t>kr 1 500 fast + kr 199 tillegg + CEG-tabell (81 anrop)</t>
        </is>
      </c>
      <c r="F59" s="17" t="inlineStr">
        <is>
          <t>Per anrop</t>
        </is>
      </c>
      <c r="G59" s="18" t="inlineStr">
        <is>
          <t>81 anrop i juni · Totalt kr 2 479 ekskl.</t>
        </is>
      </c>
      <c r="H59" s="19" t="n">
        <v>72</v>
      </c>
      <c r="I59" s="20">
        <f>IF(H59="–","–",IFERROR(VLOOKUP(H59,Tabeller!$D$2:$E$23,2,TRUE()),1500)+199)</f>
        <v/>
      </c>
      <c r="J59" s="21" t="n">
        <v>2479</v>
      </c>
      <c r="K59" s="22">
        <f>IF(ISNUMBER(I59),IF(ISNUMBER(J59),J59-I59,""),"–")</f>
        <v/>
      </c>
      <c r="L59" s="71" t="inlineStr">
        <is>
          <t>ok</t>
        </is>
      </c>
    </row>
    <row r="60" ht="30" customHeight="1" s="74">
      <c r="A60" s="3" t="n">
        <v>53</v>
      </c>
      <c r="B60" s="4" t="inlineStr">
        <is>
          <t>NEMUS – Sandefjord Kiropraktikk AS</t>
        </is>
      </c>
      <c r="C60" s="5" t="inlineStr">
        <is>
          <t>Aktiv</t>
        </is>
      </c>
      <c r="D60" s="6" t="inlineStr">
        <is>
          <t>CEG-tabell + fastpris tillegg</t>
        </is>
      </c>
      <c r="E60" s="6" t="inlineStr">
        <is>
          <t>kr 1 500 fast + kr 199 tillegg + CEG-tabell (85 anrop)</t>
        </is>
      </c>
      <c r="F60" s="7" t="inlineStr">
        <is>
          <t>Per anrop</t>
        </is>
      </c>
      <c r="G60" s="8" t="inlineStr">
        <is>
          <t>85 anrop i juni · Totalt kr 2 479 ekskl.</t>
        </is>
      </c>
      <c r="H60" s="9" t="n">
        <v>72</v>
      </c>
      <c r="I60" s="10">
        <f>IF(H60="–","–",IFERROR(VLOOKUP(H60,Tabeller!$D$2:$E$23,2,TRUE()),1500)+199)</f>
        <v/>
      </c>
      <c r="J60" s="11" t="n">
        <v>2479</v>
      </c>
      <c r="K60" s="12">
        <f>IF(ISNUMBER(I60),IF(ISNUMBER(J60),J60-I60,""),"–")</f>
        <v/>
      </c>
      <c r="L60" s="71" t="inlineStr">
        <is>
          <t>ok</t>
        </is>
      </c>
    </row>
    <row r="61" ht="30" customHeight="1" s="74">
      <c r="A61" s="13" t="n">
        <v>54</v>
      </c>
      <c r="B61" s="14" t="inlineStr">
        <is>
          <t>NEMUS – Tønsberg Helseklinikk AS</t>
        </is>
      </c>
      <c r="C61" s="15" t="inlineStr">
        <is>
          <t>Aktiv</t>
        </is>
      </c>
      <c r="D61" s="16" t="inlineStr">
        <is>
          <t>CEG-tabell + fastpris tillegg</t>
        </is>
      </c>
      <c r="E61" s="16" t="inlineStr">
        <is>
          <t>kr 1 500 fast + kr 199 tillegg + CEG-tabell (70 anrop)</t>
        </is>
      </c>
      <c r="F61" s="17" t="inlineStr">
        <is>
          <t>Per anrop</t>
        </is>
      </c>
      <c r="G61" s="18" t="inlineStr">
        <is>
          <t>70 anrop i juni · Totalt kr 2 479 ekskl.</t>
        </is>
      </c>
      <c r="H61" s="19" t="n">
        <v>96</v>
      </c>
      <c r="I61" s="20">
        <f>IF(H61="–","–",IFERROR(VLOOKUP(H61,Tabeller!$D$2:$E$23,2,TRUE()),1500)+199)</f>
        <v/>
      </c>
      <c r="J61" s="21" t="n">
        <v>3069</v>
      </c>
      <c r="K61" s="22">
        <f>IF(ISNUMBER(I61),IF(ISNUMBER(J61),J61-I61,""),"–")</f>
        <v/>
      </c>
      <c r="L61" s="71" t="inlineStr">
        <is>
          <t>ok</t>
        </is>
      </c>
    </row>
    <row r="62" ht="42" customHeight="1" s="74">
      <c r="A62" s="13" t="n">
        <v>55</v>
      </c>
      <c r="B62" s="14" t="inlineStr">
        <is>
          <t>Per Tverfjell Bilomsetning AS</t>
        </is>
      </c>
      <c r="C62" s="15" t="inlineStr">
        <is>
          <t>Aktiv</t>
        </is>
      </c>
      <c r="D62" s="16" t="inlineStr">
        <is>
          <t>CEG-tabell</t>
        </is>
      </c>
      <c r="E62" s="16" t="inlineStr">
        <is>
          <t>kr 1 500 / mnd (0–69) og oppover</t>
        </is>
      </c>
      <c r="F62" s="17" t="inlineStr">
        <is>
          <t>0–69 samtaler</t>
        </is>
      </c>
      <c r="G62" s="18" t="inlineStr">
        <is>
          <t>OBS: Claude beregnet 3 260 (CEG 110-129, 120 anrop). Tripletex fakturerte 2 870. Avvik kr 390 – bekreftet av Geir at Claude har rett</t>
        </is>
      </c>
      <c r="H62" s="19" t="n">
        <v>116</v>
      </c>
      <c r="I62" s="20">
        <f>IF(H62="–","–",IFERROR(VLOOKUP(H62,Tabeller!$D$2:$E$23,2,TRUE()),1500))</f>
        <v/>
      </c>
      <c r="J62" s="21" t="n">
        <v>3260</v>
      </c>
      <c r="K62" s="32">
        <f>IF(ISNUMBER(I62),IF(ISNUMBER(J62),J62-I62,""),"–")</f>
        <v/>
      </c>
      <c r="L62" s="71" t="inlineStr">
        <is>
          <t>ok</t>
        </is>
      </c>
      <c r="M62" s="66" t="inlineStr">
        <is>
          <t>endret fra 3810 til 3260</t>
        </is>
      </c>
      <c r="N62" s="66" t="n"/>
      <c r="O62" s="66" t="n"/>
    </row>
    <row r="63" ht="30" customHeight="1" s="74">
      <c r="A63" s="13" t="n">
        <v>56</v>
      </c>
      <c r="B63" s="14" t="inlineStr">
        <is>
          <t>Vera Tank AS</t>
        </is>
      </c>
      <c r="C63" s="15" t="inlineStr">
        <is>
          <t>Aktiv</t>
        </is>
      </c>
      <c r="D63" s="16" t="inlineStr">
        <is>
          <t>CEG-tabell</t>
        </is>
      </c>
      <c r="E63" s="16" t="inlineStr">
        <is>
          <t>kr 1 500 / mnd (0–69) og oppover</t>
        </is>
      </c>
      <c r="F63" s="17" t="inlineStr">
        <is>
          <t>0–69 samtaler</t>
        </is>
      </c>
      <c r="G63" s="18" t="n"/>
      <c r="H63" s="19" t="n">
        <v>100</v>
      </c>
      <c r="I63" s="20">
        <f>IF(H63="–","–",IFERROR(VLOOKUP(H63,Tabeller!$D$2:$E$23,2,TRUE()),1500))</f>
        <v/>
      </c>
      <c r="J63" s="21" t="n">
        <v>2870</v>
      </c>
      <c r="K63" s="22">
        <f>IF(ISNUMBER(I63),IF(ISNUMBER(J63),J63-I63,""),"–")</f>
        <v/>
      </c>
      <c r="L63" s="71" t="inlineStr">
        <is>
          <t>ok</t>
        </is>
      </c>
      <c r="M63" s="66" t="inlineStr">
        <is>
          <t>endret fra 1500,- til 2870,-</t>
        </is>
      </c>
      <c r="N63" s="66" t="n"/>
      <c r="O63" s="66" t="n"/>
    </row>
    <row r="65" ht="18" customHeight="1" s="74">
      <c r="A65" s="76" t="inlineStr">
        <is>
          <t>EGNE TABELLER  (individuelle volumtrapper og spesialavtaler)</t>
        </is>
      </c>
      <c r="B65" s="69" t="n"/>
      <c r="C65" s="69" t="n"/>
      <c r="D65" s="69" t="n"/>
      <c r="E65" s="69" t="n"/>
      <c r="F65" s="69" t="n"/>
      <c r="G65" s="69" t="n"/>
      <c r="H65" s="69" t="n"/>
      <c r="I65" s="69" t="n"/>
      <c r="J65" s="69" t="n"/>
      <c r="K65" s="70" t="n"/>
    </row>
    <row r="66" ht="30" customHeight="1" s="74">
      <c r="A66" s="3" t="n">
        <v>57</v>
      </c>
      <c r="B66" s="4" t="inlineStr">
        <is>
          <t>Ahlberg data (PC Vennen AS)</t>
        </is>
      </c>
      <c r="C66" s="5" t="inlineStr">
        <is>
          <t>Aktiv</t>
        </is>
      </c>
      <c r="D66" s="6" t="inlineStr">
        <is>
          <t>Eigen tabell</t>
        </is>
      </c>
      <c r="E66" s="6" t="inlineStr">
        <is>
          <t>kr 3 490 / mnd + kr 32 / anrop over 99</t>
        </is>
      </c>
      <c r="F66" s="7" t="inlineStr">
        <is>
          <t>0–99 anrop</t>
        </is>
      </c>
      <c r="G66" s="8" t="inlineStr">
        <is>
          <t>Kunde nr 32942</t>
        </is>
      </c>
      <c r="H66" s="9" t="n">
        <v>90</v>
      </c>
      <c r="I66" s="10">
        <f>IF(H66="–","–",IF(H66&lt;=99,3490,3490+(H66-99)*32))</f>
        <v/>
      </c>
      <c r="J66" s="11" t="n">
        <v>3490</v>
      </c>
      <c r="K66" s="12">
        <f>IF(ISNUMBER(I66),IF(ISNUMBER(J66),J66-I66,""),"–")</f>
        <v/>
      </c>
      <c r="L66" s="71" t="inlineStr">
        <is>
          <t>ok</t>
        </is>
      </c>
    </row>
    <row r="67" ht="30" customHeight="1" s="74">
      <c r="A67" s="13" t="n">
        <v>58</v>
      </c>
      <c r="B67" s="14" t="inlineStr">
        <is>
          <t>Allskog SA</t>
        </is>
      </c>
      <c r="C67" s="15" t="inlineStr">
        <is>
          <t>Aktiv</t>
        </is>
      </c>
      <c r="D67" s="16" t="inlineStr">
        <is>
          <t>Fast pris (ny 2026)</t>
        </is>
      </c>
      <c r="E67" s="16" t="inlineStr">
        <is>
          <t>kr 15 000 / mnd</t>
        </is>
      </c>
      <c r="F67" s="17" t="inlineStr">
        <is>
          <t>Ubegrenset + statistikk</t>
        </is>
      </c>
      <c r="G67" s="18" t="inlineStr">
        <is>
          <t>Ny fast pris fra mars 2026</t>
        </is>
      </c>
      <c r="H67" s="19" t="n">
        <v>394</v>
      </c>
      <c r="I67" s="20">
        <f>15000</f>
        <v/>
      </c>
      <c r="J67" s="21" t="n">
        <v>15000</v>
      </c>
      <c r="K67" s="22">
        <f>IF(ISNUMBER(I67),IF(ISNUMBER(J67),J67-I67,""),"–")</f>
        <v/>
      </c>
      <c r="L67" s="71" t="inlineStr">
        <is>
          <t>ok</t>
        </is>
      </c>
      <c r="M67" s="73" t="inlineStr">
        <is>
          <t>Totalt 394 anrop ( tilbakeanrop er på 36)</t>
        </is>
      </c>
    </row>
    <row r="68" ht="30" customHeight="1" s="74">
      <c r="A68" s="3" t="n">
        <v>59</v>
      </c>
      <c r="B68" s="4" t="inlineStr">
        <is>
          <t>Caverion Norge AS</t>
        </is>
      </c>
      <c r="C68" s="5" t="inlineStr">
        <is>
          <t>Aktiv</t>
        </is>
      </c>
      <c r="D68" s="6" t="inlineStr">
        <is>
          <t>Indeksregulert tabell</t>
        </is>
      </c>
      <c r="E68" s="6" t="inlineStr">
        <is>
          <t>250-299: kr 5 315 / 300-349: kr 6 275 (2026)</t>
        </is>
      </c>
      <c r="F68" s="7" t="inlineStr">
        <is>
          <t>Se pristabell</t>
        </is>
      </c>
      <c r="G68" s="8" t="inlineStr">
        <is>
          <t>Nasjonal rammeavtale</t>
        </is>
      </c>
      <c r="H68" s="9" t="n">
        <v>253</v>
      </c>
      <c r="I68" s="10" t="n">
        <v>5315</v>
      </c>
      <c r="J68" s="11" t="n">
        <v>5315</v>
      </c>
      <c r="K68" s="12">
        <f>IF(ISNUMBER(I68),IF(ISNUMBER(J68),J68-I68,""),"–")</f>
        <v/>
      </c>
      <c r="L68" s="71" t="inlineStr">
        <is>
          <t>ok</t>
        </is>
      </c>
    </row>
    <row r="69" ht="30" customHeight="1" s="74">
      <c r="A69" s="13" t="n">
        <v>60</v>
      </c>
      <c r="B69" s="14" t="inlineStr">
        <is>
          <t>EFAS (Eurofusion AS)</t>
        </is>
      </c>
      <c r="C69" s="15" t="inlineStr">
        <is>
          <t>Aktiv</t>
        </is>
      </c>
      <c r="D69" s="16" t="inlineStr">
        <is>
          <t>Eigen tabell + fast abo</t>
        </is>
      </c>
      <c r="E69" s="16" t="inlineStr">
        <is>
          <t>kr 199 fast / mnd + volumtabell (0-30: kr 1 330)</t>
        </is>
      </c>
      <c r="F69" s="17" t="inlineStr">
        <is>
          <t>Volumtabell</t>
        </is>
      </c>
      <c r="G69" s="18" t="n"/>
      <c r="H69" s="19" t="n">
        <v>2</v>
      </c>
      <c r="I69" s="20">
        <f>IF(H69="–","–",199+IFERROR(VLOOKUP(H69,Tabeller!$J$2:$K$8,2,TRUE()),1330))</f>
        <v/>
      </c>
      <c r="J69" s="21" t="n">
        <v>1529</v>
      </c>
      <c r="K69" s="22">
        <f>IF(ISNUMBER(I69),IF(ISNUMBER(J69),J69-I69,""),"–")</f>
        <v/>
      </c>
      <c r="L69" s="71" t="inlineStr">
        <is>
          <t>ok</t>
        </is>
      </c>
    </row>
    <row r="70" ht="30" customHeight="1" s="74">
      <c r="A70" s="3" t="n">
        <v>61</v>
      </c>
      <c r="B70" s="4" t="inlineStr">
        <is>
          <t>ENRX AS</t>
        </is>
      </c>
      <c r="C70" s="5" t="inlineStr">
        <is>
          <t>Aktiv</t>
        </is>
      </c>
      <c r="D70" s="6" t="inlineStr">
        <is>
          <t>Eigen tabell</t>
        </is>
      </c>
      <c r="E70" s="6" t="inlineStr">
        <is>
          <t>Volumtrapp: 0-99: kr 2 580 / 100-149: kr 3 100</t>
        </is>
      </c>
      <c r="F70" s="7" t="inlineStr">
        <is>
          <t>Se kundeark</t>
        </is>
      </c>
      <c r="G70" s="8" t="n"/>
      <c r="H70" s="9" t="n">
        <v>46</v>
      </c>
      <c r="I70" s="10">
        <f>IF(H70="–","–",IFERROR(VLOOKUP(H70,Tabeller!$M$2:$N$6,2,TRUE()),2580))</f>
        <v/>
      </c>
      <c r="J70" s="11" t="n">
        <v>2580</v>
      </c>
      <c r="K70" s="12">
        <f>IF(ISNUMBER(I70),IF(ISNUMBER(J70),J70-I70,""),"–")</f>
        <v/>
      </c>
      <c r="L70" s="71" t="inlineStr">
        <is>
          <t>ok</t>
        </is>
      </c>
    </row>
    <row r="71" ht="30" customHeight="1" s="74">
      <c r="A71" s="13" t="n">
        <v>62</v>
      </c>
      <c r="B71" s="14" t="inlineStr">
        <is>
          <t>Promon AS</t>
        </is>
      </c>
      <c r="C71" s="15" t="inlineStr">
        <is>
          <t>Aktiv</t>
        </is>
      </c>
      <c r="D71" s="16" t="inlineStr">
        <is>
          <t>Eigen tabell</t>
        </is>
      </c>
      <c r="E71" s="16" t="inlineStr">
        <is>
          <t>Volumtrapp: 0-99: kr 7 410 / 100-149: kr 10 550</t>
        </is>
      </c>
      <c r="F71" s="17" t="inlineStr">
        <is>
          <t>Se kundeark</t>
        </is>
      </c>
      <c r="G71" s="18" t="n"/>
      <c r="H71" s="19" t="n">
        <v>24</v>
      </c>
      <c r="I71" s="20">
        <f>IF(H71="–","–",IFERROR(VLOOKUP(H71,Tabeller!$P$2:$Q$5,2,TRUE()),7410))</f>
        <v/>
      </c>
      <c r="J71" s="21" t="n">
        <v>7410</v>
      </c>
      <c r="K71" s="22">
        <f>IF(ISNUMBER(I71),IF(ISNUMBER(J71),J71-I71,""),"–")</f>
        <v/>
      </c>
      <c r="L71" s="71" t="inlineStr">
        <is>
          <t>ok</t>
        </is>
      </c>
    </row>
    <row r="72" ht="30" customHeight="1" s="74">
      <c r="A72" s="3" t="n">
        <v>63</v>
      </c>
      <c r="B72" s="4" t="inlineStr">
        <is>
          <t>Rambøll Norge AS</t>
        </is>
      </c>
      <c r="C72" s="5" t="inlineStr">
        <is>
          <t>Aktiv</t>
        </is>
      </c>
      <c r="D72" s="6" t="inlineStr">
        <is>
          <t>Eigen tabell (uten rapport)</t>
        </is>
      </c>
      <c r="E72" s="6" t="inlineStr">
        <is>
          <t>kr 4 640 base + kr 42 / anrop over 299</t>
        </is>
      </c>
      <c r="F72" s="7" t="inlineStr">
        <is>
          <t>Se kundeark</t>
        </is>
      </c>
      <c r="G72" s="8" t="inlineStr">
        <is>
          <t>Rapport (kr 1 495) er sagt opp. Beregning: 4 640 + 56×42 = 6 992. Bekreftet av Geir</t>
        </is>
      </c>
      <c r="H72" s="9" t="n">
        <v>337</v>
      </c>
      <c r="I72" s="10">
        <f>IF(H72="–","–",4640+MAX(0,H72-299)*42)</f>
        <v/>
      </c>
      <c r="J72" s="11" t="n">
        <v>6236</v>
      </c>
      <c r="K72" s="12">
        <f>IF(ISNUMBER(I72),IF(ISNUMBER(J72),J72-I72,""),"–")</f>
        <v/>
      </c>
      <c r="L72" s="71" t="inlineStr">
        <is>
          <t>ok</t>
        </is>
      </c>
      <c r="M72" s="72" t="inlineStr">
        <is>
          <t>Endret pris fra 4640,- til 6236</t>
        </is>
      </c>
      <c r="N72" s="72" t="n"/>
      <c r="O72" s="72" t="n"/>
    </row>
    <row r="73" ht="30" customHeight="1" s="74">
      <c r="A73" s="13" t="n">
        <v>64</v>
      </c>
      <c r="B73" s="61" t="inlineStr">
        <is>
          <t>Safenordic AS OBS! Faktureres fra Touchcom AS fra og med august 2026</t>
        </is>
      </c>
      <c r="C73" s="15" t="inlineStr">
        <is>
          <t>Aktiv</t>
        </is>
      </c>
      <c r="D73" s="16" t="inlineStr">
        <is>
          <t>Flat pris</t>
        </is>
      </c>
      <c r="E73" s="16" t="inlineStr">
        <is>
          <t>kr 1 125 / mnd inkl. 30 anrop (rollover 3 mnd)</t>
        </is>
      </c>
      <c r="F73" s="17" t="inlineStr">
        <is>
          <t>0–30 anrop</t>
        </is>
      </c>
      <c r="G73" s="18" t="inlineStr">
        <is>
          <t>Safenordic 1 + Touchcom 10</t>
        </is>
      </c>
      <c r="H73" s="19" t="n">
        <v>18</v>
      </c>
      <c r="I73" s="20">
        <f>1125</f>
        <v/>
      </c>
      <c r="J73" s="21" t="n">
        <v>1125</v>
      </c>
      <c r="K73" s="22">
        <f>IF(ISNUMBER(I73),IF(ISNUMBER(J73),J73-I73,""),"–")</f>
        <v/>
      </c>
      <c r="L73" s="71" t="inlineStr">
        <is>
          <t>ok</t>
        </is>
      </c>
    </row>
    <row r="75" ht="18" customHeight="1" s="74">
      <c r="A75" s="76" t="inlineStr">
        <is>
          <t>KVARTALSFAKTURERING</t>
        </is>
      </c>
      <c r="B75" s="69" t="n"/>
      <c r="C75" s="69" t="n"/>
      <c r="D75" s="69" t="n"/>
      <c r="E75" s="69" t="n"/>
      <c r="F75" s="69" t="n"/>
      <c r="G75" s="69" t="n"/>
      <c r="H75" s="69" t="n"/>
      <c r="I75" s="69" t="n"/>
      <c r="J75" s="69" t="n"/>
      <c r="K75" s="70" t="n"/>
    </row>
    <row r="76" ht="30" customHeight="1" s="74">
      <c r="A76" s="3" t="n">
        <v>65</v>
      </c>
      <c r="B76" s="4" t="inlineStr">
        <is>
          <t>Enova Trondheim (Compass)</t>
        </is>
      </c>
      <c r="C76" s="5" t="inlineStr">
        <is>
          <t>Aktiv</t>
        </is>
      </c>
      <c r="D76" s="6" t="inlineStr">
        <is>
          <t>Kvartalsvis (forskudd)</t>
        </is>
      </c>
      <c r="E76" s="6" t="inlineStr">
        <is>
          <t>kr 5 140 / kvartal + kr 36 / anrop over 200</t>
        </is>
      </c>
      <c r="F76" s="7" t="inlineStr">
        <is>
          <t>Kvartalsvis</t>
        </is>
      </c>
      <c r="G76" s="8" t="inlineStr">
        <is>
          <t>Kvartalsfakturering: kr 5 140 forskudd (jan/apr/jul/okt, faktura siste dag i måneden). Kr 36 per anrop over 200 per kvartal. H-kolonnen = kvartalets samlede anropstall (apr 39 + mai 56 + jun 75 = 170). Neste faktura juli 2026.</t>
        </is>
      </c>
      <c r="H76" s="9" t="n">
        <v>38</v>
      </c>
      <c r="I76" s="10">
        <f>5140+MAX(0,H76-200)*36</f>
        <v/>
      </c>
      <c r="J76" s="11" t="n">
        <v>0</v>
      </c>
      <c r="K76" s="12">
        <f>IF(ISNUMBER(I76),IF(ISNUMBER(J76),J76-I76,""),"–")</f>
        <v/>
      </c>
      <c r="L76" s="71" t="inlineStr">
        <is>
          <t>ok</t>
        </is>
      </c>
    </row>
    <row r="77" ht="30" customHeight="1" s="74">
      <c r="A77" s="13" t="n">
        <v>66</v>
      </c>
      <c r="B77" s="14" t="inlineStr">
        <is>
          <t>Norsk Medisinsk Syklotronsenter</t>
        </is>
      </c>
      <c r="C77" s="15" t="inlineStr">
        <is>
          <t>Aktiv</t>
        </is>
      </c>
      <c r="D77" s="16" t="inlineStr">
        <is>
          <t>Kvartalsvis (etterskudd)</t>
        </is>
      </c>
      <c r="E77" s="16" t="inlineStr">
        <is>
          <t>kr 2 870 / kvartal (0-99)</t>
        </is>
      </c>
      <c r="F77" s="17" t="inlineStr">
        <is>
          <t>Kvartalstall</t>
        </is>
      </c>
      <c r="G77" s="33" t="inlineStr">
        <is>
          <t xml:space="preserve">Ble fakturert i juni </t>
        </is>
      </c>
      <c r="H77" s="19" t="n">
        <v>16</v>
      </c>
      <c r="I77" s="20" t="n"/>
      <c r="J77" s="21" t="n">
        <v>0</v>
      </c>
      <c r="K77" s="12">
        <f>IF(ISNUMBER(I77),IF(ISNUMBER(J77),J77-I77,""),"–")</f>
        <v/>
      </c>
      <c r="L77" s="63" t="n"/>
    </row>
    <row r="78" ht="30" customHeight="1" s="74">
      <c r="A78" s="3" t="n">
        <v>67</v>
      </c>
      <c r="B78" s="4" t="inlineStr">
        <is>
          <t>NYD – Norsk Yrkesdykkerskole</t>
        </is>
      </c>
      <c r="C78" s="5" t="inlineStr">
        <is>
          <t>Aktiv</t>
        </is>
      </c>
      <c r="D78" s="6" t="inlineStr">
        <is>
          <t>Kvartalsvis (forskudd)</t>
        </is>
      </c>
      <c r="E78" s="6" t="inlineStr">
        <is>
          <t>kr 10 230 / kvartal (forskudd)</t>
        </is>
      </c>
      <c r="F78" s="7" t="inlineStr">
        <is>
          <t>Kvartalsvis</t>
        </is>
      </c>
      <c r="G78" s="8" t="inlineStr">
        <is>
          <t>Kvartalsfakturering: kr 10 230 forskudd, faktura 20'de (feb/mai/aug/nov). Neste faktura august 2026.</t>
        </is>
      </c>
      <c r="H78" s="9" t="n">
        <v>63</v>
      </c>
      <c r="I78" s="10" t="n"/>
      <c r="J78" s="11" t="n">
        <v>0</v>
      </c>
      <c r="K78" s="12">
        <f>IF(ISNUMBER(I78),IF(ISNUMBER(J78),J78-I78,""),"–")</f>
        <v/>
      </c>
      <c r="L78" s="63" t="n"/>
    </row>
    <row r="80" ht="18" customHeight="1" s="74">
      <c r="A80" s="76" t="inlineStr">
        <is>
          <t>ÅRSABONNEMENT</t>
        </is>
      </c>
      <c r="B80" s="69" t="n"/>
      <c r="C80" s="69" t="n"/>
      <c r="D80" s="69" t="n"/>
      <c r="E80" s="69" t="n"/>
      <c r="F80" s="69" t="n"/>
      <c r="G80" s="69" t="n"/>
      <c r="H80" s="69" t="n"/>
      <c r="I80" s="69" t="n"/>
      <c r="J80" s="69" t="n"/>
      <c r="K80" s="70" t="n"/>
    </row>
    <row r="81" ht="30" customHeight="1" s="74">
      <c r="A81" s="3" t="n">
        <v>68</v>
      </c>
      <c r="B81" s="4" t="inlineStr">
        <is>
          <t>Feste Trafikkskole AS</t>
        </is>
      </c>
      <c r="C81" s="5" t="inlineStr">
        <is>
          <t>Aktiv</t>
        </is>
      </c>
      <c r="D81" s="6" t="inlineStr">
        <is>
          <t>Årsabonnement</t>
        </is>
      </c>
      <c r="E81" s="6" t="inlineStr">
        <is>
          <t>kr 2 580 / år + kr 380/dag (daglig) eller kr 1 490/uke (ferie/ukentlig)</t>
        </is>
      </c>
      <c r="F81" s="7" t="inlineStr">
        <is>
          <t>Årsvis</t>
        </is>
      </c>
      <c r="G81" s="8" t="inlineStr">
        <is>
          <t>Årsavgift kr 2 580 faktureres september (forskudd). VED BRUK (når anrop vises i Zisson): kr 380 per dag ved daglig bruk eller kr 1 490 per uke ved ukentlig/ferieavvikling. Beregn I-kolonnen manuelt ved bruk.</t>
        </is>
      </c>
      <c r="H81" s="9" t="n">
        <v>16</v>
      </c>
      <c r="I81" s="10" t="n">
        <v>0</v>
      </c>
      <c r="J81" s="11" t="n">
        <v>1700</v>
      </c>
      <c r="K81" s="12">
        <f>IF(ISNUMBER(I81),IF(ISNUMBER(J81),J81-I81,""),"–")</f>
        <v/>
      </c>
      <c r="L81" s="71" t="n"/>
    </row>
    <row r="83" ht="18" customHeight="1" s="74">
      <c r="A83" s="76" t="inlineStr">
        <is>
          <t>NYE KUNDER – PRISMODELLER HENTET FRA TRIPLETEX</t>
        </is>
      </c>
      <c r="B83" s="69" t="n"/>
      <c r="C83" s="69" t="n"/>
      <c r="D83" s="69" t="n"/>
      <c r="E83" s="69" t="n"/>
      <c r="F83" s="69" t="n"/>
      <c r="G83" s="69" t="n"/>
      <c r="H83" s="69" t="n"/>
      <c r="I83" s="69" t="n"/>
      <c r="J83" s="69" t="n"/>
      <c r="K83" s="70" t="n"/>
    </row>
    <row r="84" ht="30" customHeight="1" s="74">
      <c r="A84" s="34" t="n">
        <v>69</v>
      </c>
      <c r="B84" s="35" t="inlineStr">
        <is>
          <t>Dekkteam Ringdekk AS</t>
        </is>
      </c>
      <c r="C84" s="36" t="inlineStr">
        <is>
          <t>Aktiv</t>
        </is>
      </c>
      <c r="D84" s="37" t="inlineStr">
        <is>
          <t>Fast pris + stykkpris</t>
        </is>
      </c>
      <c r="E84" s="37" t="inlineStr">
        <is>
          <t>kr 1 131 fast / mnd + kr 30 / anrop</t>
        </is>
      </c>
      <c r="F84" s="38" t="inlineStr">
        <is>
          <t>Ingen inkludert</t>
        </is>
      </c>
      <c r="G84" s="39" t="n"/>
      <c r="H84" s="40" t="n">
        <v>21</v>
      </c>
      <c r="I84" s="41">
        <f>IF(H84="–","–",1131+H84*30)</f>
        <v/>
      </c>
      <c r="J84" s="42" t="n">
        <v>1761</v>
      </c>
      <c r="K84" s="43">
        <f>IF(ISNUMBER(I84),IF(ISNUMBER(J84),J84-I84,""),"–")</f>
        <v/>
      </c>
      <c r="L84" s="71" t="inlineStr">
        <is>
          <t>ok</t>
        </is>
      </c>
      <c r="M84" s="72" t="inlineStr">
        <is>
          <t>endret fra 2541,- til 1761,-</t>
        </is>
      </c>
      <c r="N84" s="72" t="n"/>
      <c r="O84" s="72" t="n"/>
    </row>
    <row r="85" ht="30" customHeight="1" s="74">
      <c r="A85" s="34" t="n">
        <v>70</v>
      </c>
      <c r="B85" s="44" t="inlineStr">
        <is>
          <t>Fit4 AS (Helselaben)</t>
        </is>
      </c>
      <c r="C85" s="36" t="inlineStr">
        <is>
          <t>Aktiv</t>
        </is>
      </c>
      <c r="D85" s="37" t="inlineStr">
        <is>
          <t>Fast pris + stykkpris + e-post</t>
        </is>
      </c>
      <c r="E85" s="37" t="inlineStr">
        <is>
          <t>kr 3 292 / mnd inkl. 100 anrop + kr 28 / over 100 + e-post behandling kr 1548,-(separat på fakturaen)</t>
        </is>
      </c>
      <c r="F85" s="38" t="inlineStr">
        <is>
          <t>0–100 anrop</t>
        </is>
      </c>
      <c r="G85" s="39" t="n"/>
      <c r="H85" s="45" t="n">
        <v>41</v>
      </c>
      <c r="I85" s="41">
        <f>IF(H85="–",3292,3292+MAX(0,H85-100)*28)</f>
        <v/>
      </c>
      <c r="J85" s="42" t="n">
        <v>4840</v>
      </c>
      <c r="K85" s="43">
        <f>IF(ISNUMBER(I85),IF(ISNUMBER(J85),J85-I85,""),"–")</f>
        <v/>
      </c>
      <c r="L85" s="71" t="n"/>
      <c r="M85" t="inlineStr">
        <is>
          <t>Fakturert 4840,- Fit4 skal betale kr 1548 i tillegg for e-postbehandling</t>
        </is>
      </c>
    </row>
    <row r="86" ht="30" customHeight="1" s="74">
      <c r="A86" s="34" t="n">
        <v>71</v>
      </c>
      <c r="B86" s="35" t="inlineStr">
        <is>
          <t>HR Companies AS</t>
        </is>
      </c>
      <c r="C86" s="36" t="inlineStr">
        <is>
          <t>Aktiv</t>
        </is>
      </c>
      <c r="D86" s="37" t="inlineStr">
        <is>
          <t>Fast pris + stykkpris</t>
        </is>
      </c>
      <c r="E86" s="37" t="inlineStr">
        <is>
          <t>kr 873 fast / mnd + kr 30 / anrop</t>
        </is>
      </c>
      <c r="F86" s="38" t="inlineStr">
        <is>
          <t>Ingen inkludert</t>
        </is>
      </c>
      <c r="G86" s="39" t="n"/>
      <c r="H86" s="40" t="n">
        <v>0</v>
      </c>
      <c r="I86" s="41">
        <f>IF(H86="–","–",873+H86*30)</f>
        <v/>
      </c>
      <c r="J86" s="42" t="n">
        <v>873</v>
      </c>
      <c r="K86" s="43">
        <f>IF(ISNUMBER(I86),IF(ISNUMBER(J86),J86-I86,""),"–")</f>
        <v/>
      </c>
      <c r="L86" s="71" t="inlineStr">
        <is>
          <t>ok</t>
        </is>
      </c>
      <c r="M86" s="73" t="n"/>
    </row>
    <row r="87" ht="30" customHeight="1" s="74">
      <c r="A87" s="34" t="n">
        <v>72</v>
      </c>
      <c r="B87" s="35" t="inlineStr">
        <is>
          <t>Krøderen Elektro AS</t>
        </is>
      </c>
      <c r="C87" s="36" t="inlineStr">
        <is>
          <t>Aktiv</t>
        </is>
      </c>
      <c r="D87" s="37" t="inlineStr">
        <is>
          <t>Fast pris + per ansatt + stykkpris</t>
        </is>
      </c>
      <c r="E87" s="46" t="inlineStr">
        <is>
          <t>kr 566 fast + kr 114 /ansatt (21 stk)  + kr 30 / anrop</t>
        </is>
      </c>
      <c r="F87" s="38" t="inlineStr">
        <is>
          <t>Per ansatt + anrop</t>
        </is>
      </c>
      <c r="G87" s="39" t="n"/>
      <c r="H87" s="40" t="n">
        <v>560</v>
      </c>
      <c r="I87" s="41">
        <f>IF(H87="–","–",566+21*114+H87*30)</f>
        <v/>
      </c>
      <c r="J87" s="42" t="n">
        <v>19760</v>
      </c>
      <c r="K87" s="43">
        <f>IF(ISNUMBER(I87),IF(ISNUMBER(J87),J87-I87,""),"–")</f>
        <v/>
      </c>
      <c r="L87" s="71" t="inlineStr">
        <is>
          <t>ok</t>
        </is>
      </c>
    </row>
    <row r="88" ht="30" customHeight="1" s="74">
      <c r="A88" s="34" t="n">
        <v>73</v>
      </c>
      <c r="B88" s="35" t="inlineStr">
        <is>
          <t>Menova AS</t>
        </is>
      </c>
      <c r="C88" s="36" t="inlineStr">
        <is>
          <t>Aktiv</t>
        </is>
      </c>
      <c r="D88" s="37" t="inlineStr">
        <is>
          <t>Fast pris + per ansatt + stykkpris</t>
        </is>
      </c>
      <c r="E88" s="46" t="inlineStr">
        <is>
          <t>kr 566 fast + kr 56 / ansatt (25 stk) + kr 28 / anrop</t>
        </is>
      </c>
      <c r="F88" s="38" t="inlineStr">
        <is>
          <t>Per ansatt + anrop</t>
        </is>
      </c>
      <c r="G88" s="39" t="n"/>
      <c r="H88" s="40" t="n">
        <v>29</v>
      </c>
      <c r="I88" s="41">
        <f>IF(H88="–","–",566+25*56+H88*28)</f>
        <v/>
      </c>
      <c r="J88" s="42" t="n">
        <v>2778</v>
      </c>
      <c r="K88" s="43">
        <f>IF(ISNUMBER(I88),IF(ISNUMBER(J88),J88-I88,""),"–")</f>
        <v/>
      </c>
      <c r="L88" s="71" t="inlineStr">
        <is>
          <t>ok</t>
        </is>
      </c>
    </row>
    <row r="89" ht="30" customHeight="1" s="74">
      <c r="A89" s="34" t="n">
        <v>74</v>
      </c>
      <c r="B89" s="35" t="inlineStr">
        <is>
          <t>Print Supplies AS</t>
        </is>
      </c>
      <c r="C89" s="36" t="inlineStr">
        <is>
          <t>Aktiv</t>
        </is>
      </c>
      <c r="D89" s="37" t="inlineStr">
        <is>
          <t>Fast pris + stykkpris</t>
        </is>
      </c>
      <c r="E89" s="37" t="inlineStr">
        <is>
          <t>kr 660 fast / mnd + kr 30 / anrop</t>
        </is>
      </c>
      <c r="F89" s="38" t="inlineStr">
        <is>
          <t>Ingen inkludert</t>
        </is>
      </c>
      <c r="G89" s="39" t="n"/>
      <c r="H89" s="40" t="n">
        <v>26</v>
      </c>
      <c r="I89" s="41">
        <f>IF(H89="–","–",660+H89*30)</f>
        <v/>
      </c>
      <c r="J89" s="42" t="n">
        <v>1440</v>
      </c>
      <c r="K89" s="43">
        <f>IF(ISNUMBER(I89),IF(ISNUMBER(J89),J89-I89,""),"–")</f>
        <v/>
      </c>
      <c r="L89" s="71" t="inlineStr">
        <is>
          <t>ok</t>
        </is>
      </c>
      <c r="M89" s="66" t="inlineStr">
        <is>
          <t>Lå kr. 2820, endret tl 1440,-</t>
        </is>
      </c>
      <c r="N89" s="66" t="n"/>
      <c r="O89" s="66" t="n"/>
      <c r="P89" s="72" t="n"/>
    </row>
    <row r="90" ht="30" customHeight="1" s="74">
      <c r="A90" s="34" t="n">
        <v>75</v>
      </c>
      <c r="B90" s="35" t="inlineStr">
        <is>
          <t>Ringerike Elektro AS</t>
        </is>
      </c>
      <c r="C90" s="36" t="inlineStr">
        <is>
          <t>Aktiv</t>
        </is>
      </c>
      <c r="D90" s="37" t="inlineStr">
        <is>
          <t>Fast pris + stykkpris</t>
        </is>
      </c>
      <c r="E90" s="37" t="inlineStr">
        <is>
          <t>kr 764 fast / mnd inkl. 20 anrop + kr 30 / anrop over 20</t>
        </is>
      </c>
      <c r="F90" s="38" t="inlineStr">
        <is>
          <t>0–20 anrop inkl.</t>
        </is>
      </c>
      <c r="G90" s="39" t="n"/>
      <c r="H90" s="40" t="n">
        <v>30</v>
      </c>
      <c r="I90" s="41" t="n">
        <v>1664</v>
      </c>
      <c r="J90" s="42" t="n">
        <v>1664</v>
      </c>
      <c r="K90" s="43">
        <f>IF(ISNUMBER(I90),IF(ISNUMBER(J90),J90-I90,""),"–")</f>
        <v/>
      </c>
      <c r="L90" s="71" t="inlineStr">
        <is>
          <t>ok</t>
        </is>
      </c>
      <c r="M90" s="71" t="inlineStr">
        <is>
          <t>Endret til kr 1664,-</t>
        </is>
      </c>
    </row>
    <row r="91" ht="30" customHeight="1" s="74">
      <c r="A91" s="34" t="n">
        <v>76</v>
      </c>
      <c r="B91" s="35" t="inlineStr">
        <is>
          <t>Trafikkskolen Driver AS</t>
        </is>
      </c>
      <c r="C91" s="36" t="inlineStr">
        <is>
          <t>Aktiv</t>
        </is>
      </c>
      <c r="D91" s="37" t="inlineStr">
        <is>
          <t>Fast pris (pakke)</t>
        </is>
      </c>
      <c r="E91" s="37" t="inlineStr">
        <is>
          <t>kr 6 129 / mnd inkl. 149 anrop + kr 23 / over 149 (inkl. e-post og utgående)</t>
        </is>
      </c>
      <c r="F91" s="38" t="inlineStr">
        <is>
          <t>0–149 anrop</t>
        </is>
      </c>
      <c r="G91" s="39" t="n"/>
      <c r="H91" s="40" t="n">
        <v>120</v>
      </c>
      <c r="I91" s="41">
        <f>IF(H91="–",6129,6129+MAX(0,H91-149)*23)</f>
        <v/>
      </c>
      <c r="J91" s="42" t="n">
        <v>6129</v>
      </c>
      <c r="K91" s="43">
        <f>IF(ISNUMBER(I91),IF(ISNUMBER(J91),J91-I91,""),"–")</f>
        <v/>
      </c>
      <c r="L91" s="71" t="inlineStr">
        <is>
          <t>ok</t>
        </is>
      </c>
    </row>
    <row r="92" ht="30" customHeight="1" s="74">
      <c r="A92" s="34" t="n">
        <v>77</v>
      </c>
      <c r="B92" s="35" t="inlineStr">
        <is>
          <t>Willis Towers Watson AS</t>
        </is>
      </c>
      <c r="C92" s="36" t="inlineStr">
        <is>
          <t>Aktiv</t>
        </is>
      </c>
      <c r="D92" s="37" t="inlineStr">
        <is>
          <t>Fast pris + per ansatt + stykkpris</t>
        </is>
      </c>
      <c r="E92" s="37" t="inlineStr">
        <is>
          <t>kr 640 fast + kr 118 / ansatt (12 stk) + kr 30 / anrop</t>
        </is>
      </c>
      <c r="F92" s="38" t="inlineStr">
        <is>
          <t>Per ansatt + anrop</t>
        </is>
      </c>
      <c r="G92" s="39" t="n"/>
      <c r="H92" s="40" t="n">
        <v>84</v>
      </c>
      <c r="I92" s="41">
        <f>IF(H92="–","–",640+12*118+H92*30)</f>
        <v/>
      </c>
      <c r="J92" s="42" t="n">
        <v>4576</v>
      </c>
      <c r="K92" s="43">
        <f>IF(ISNUMBER(I92),IF(ISNUMBER(J92),J92-I92,""),"–")</f>
        <v/>
      </c>
      <c r="L92" s="71" t="inlineStr">
        <is>
          <t>ok</t>
        </is>
      </c>
      <c r="M92" s="72" t="inlineStr">
        <is>
          <t>endret fra 3886 til 4576</t>
        </is>
      </c>
      <c r="N92" s="72" t="n"/>
      <c r="O92" s="72" t="n"/>
    </row>
    <row r="93" ht="30" customHeight="1" s="74">
      <c r="A93" s="34" t="n">
        <v>78</v>
      </c>
      <c r="B93" s="65" t="inlineStr">
        <is>
          <t>Ower Trafikkskole</t>
        </is>
      </c>
      <c r="C93" s="59" t="inlineStr">
        <is>
          <t xml:space="preserve">Aktiv </t>
        </is>
      </c>
      <c r="D93" s="58" t="inlineStr">
        <is>
          <t xml:space="preserve">Fast pris </t>
        </is>
      </c>
      <c r="E93" s="58" t="inlineStr">
        <is>
          <t>Pris pr måned: kr 2 950,- 
inntil 30 besvarte samtaler
Pris per besvart samtale utover 30: kr 60,-</t>
        </is>
      </c>
      <c r="F93" s="38" t="inlineStr">
        <is>
          <t>Proevemaaned</t>
        </is>
      </c>
      <c r="G93" s="57" t="inlineStr">
        <is>
          <t>Pris pr måned: kr 2 950,- inkluderer telefonkanal, tilgjengelighet til våre
kundeservicebetjenter og inntil 30 besvarte samtaler
Oppdatert prisplan videre etter prøvemåneden.Pris per besvart samtale utover 30: kr 60,-</t>
        </is>
      </c>
      <c r="H93" s="40" t="n">
        <v>25</v>
      </c>
      <c r="I93" s="41">
        <f>2700</f>
        <v/>
      </c>
      <c r="J93" s="42" t="n">
        <v>2700</v>
      </c>
      <c r="K93" s="43">
        <f>IF(ISNUMBER(I93),IF(ISNUMBER(J93),J93-I93,""),"–")</f>
        <v/>
      </c>
      <c r="L93" s="71" t="inlineStr">
        <is>
          <t>ok</t>
        </is>
      </c>
      <c r="M93" s="60" t="inlineStr">
        <is>
          <t>OBS! endret prisplan</t>
        </is>
      </c>
    </row>
    <row r="94" ht="18" customHeight="1" s="74"/>
    <row r="95" ht="30" customHeight="1" s="74">
      <c r="A95" s="76" t="inlineStr">
        <is>
          <t>SAGT OPP</t>
        </is>
      </c>
      <c r="B95" s="69" t="n"/>
      <c r="C95" s="69" t="n"/>
      <c r="D95" s="69" t="n"/>
      <c r="E95" s="69" t="n"/>
      <c r="F95" s="69" t="n"/>
      <c r="G95" s="69" t="n"/>
      <c r="H95" s="69" t="n"/>
      <c r="I95" s="69" t="n"/>
      <c r="J95" s="69" t="n"/>
      <c r="K95" s="70" t="n"/>
    </row>
    <row r="96" ht="30" customHeight="1" s="74">
      <c r="A96" s="47" t="n"/>
      <c r="B96" s="48" t="inlineStr">
        <is>
          <t>ABC Hus</t>
        </is>
      </c>
      <c r="C96" s="49" t="inlineStr">
        <is>
          <t>Sagt opp</t>
        </is>
      </c>
      <c r="D96" s="50" t="inlineStr">
        <is>
          <t>–</t>
        </is>
      </c>
      <c r="E96" s="50" t="inlineStr">
        <is>
          <t>–</t>
        </is>
      </c>
      <c r="F96" s="51" t="inlineStr">
        <is>
          <t>–</t>
        </is>
      </c>
      <c r="G96" s="52" t="inlineStr">
        <is>
          <t>Siste faktura mars 2026</t>
        </is>
      </c>
      <c r="H96" s="53" t="inlineStr">
        <is>
          <t>–</t>
        </is>
      </c>
      <c r="I96" s="54" t="inlineStr">
        <is>
          <t>–</t>
        </is>
      </c>
      <c r="J96" s="49" t="inlineStr">
        <is>
          <t>Sjekk!</t>
        </is>
      </c>
      <c r="K96" s="53" t="inlineStr">
        <is>
          <t>–</t>
        </is>
      </c>
    </row>
    <row r="97" ht="30" customHeight="1" s="74">
      <c r="A97" s="47" t="n"/>
      <c r="B97" s="48" t="inlineStr">
        <is>
          <t>Alivia Insurance AB</t>
        </is>
      </c>
      <c r="C97" s="49" t="inlineStr">
        <is>
          <t>Sagt opp</t>
        </is>
      </c>
      <c r="D97" s="50" t="inlineStr">
        <is>
          <t>–</t>
        </is>
      </c>
      <c r="E97" s="50" t="inlineStr">
        <is>
          <t>–</t>
        </is>
      </c>
      <c r="F97" s="51" t="inlineStr">
        <is>
          <t>–</t>
        </is>
      </c>
      <c r="G97" s="52" t="n"/>
      <c r="H97" s="53" t="inlineStr">
        <is>
          <t>–</t>
        </is>
      </c>
      <c r="I97" s="54" t="inlineStr">
        <is>
          <t>–</t>
        </is>
      </c>
      <c r="J97" s="49" t="inlineStr">
        <is>
          <t>Sjekk!</t>
        </is>
      </c>
      <c r="K97" s="53" t="inlineStr">
        <is>
          <t>–</t>
        </is>
      </c>
    </row>
    <row r="98" ht="30" customHeight="1" s="74">
      <c r="A98" s="47" t="n"/>
      <c r="B98" s="48" t="inlineStr">
        <is>
          <t>Domingo</t>
        </is>
      </c>
      <c r="C98" s="49" t="inlineStr">
        <is>
          <t>Sagt opp</t>
        </is>
      </c>
      <c r="D98" s="50" t="inlineStr">
        <is>
          <t>–</t>
        </is>
      </c>
      <c r="E98" s="50" t="inlineStr">
        <is>
          <t>–</t>
        </is>
      </c>
      <c r="F98" s="51" t="inlineStr">
        <is>
          <t>–</t>
        </is>
      </c>
      <c r="G98" s="52" t="n"/>
      <c r="H98" s="53" t="inlineStr">
        <is>
          <t>–</t>
        </is>
      </c>
      <c r="I98" s="54" t="inlineStr">
        <is>
          <t>–</t>
        </is>
      </c>
      <c r="J98" s="49" t="inlineStr">
        <is>
          <t>Sjekk!</t>
        </is>
      </c>
      <c r="K98" s="53" t="inlineStr">
        <is>
          <t>–</t>
        </is>
      </c>
    </row>
    <row r="99" ht="30" customHeight="1" s="74">
      <c r="A99" s="47" t="n"/>
      <c r="B99" s="48" t="inlineStr">
        <is>
          <t>Funkweb Kompetanse</t>
        </is>
      </c>
      <c r="C99" s="49" t="inlineStr">
        <is>
          <t>Sagt opp</t>
        </is>
      </c>
      <c r="D99" s="50" t="inlineStr">
        <is>
          <t>–</t>
        </is>
      </c>
      <c r="E99" s="50" t="inlineStr">
        <is>
          <t>–</t>
        </is>
      </c>
      <c r="F99" s="51" t="inlineStr">
        <is>
          <t>–</t>
        </is>
      </c>
      <c r="G99" s="52" t="n"/>
      <c r="H99" s="53" t="inlineStr">
        <is>
          <t>–</t>
        </is>
      </c>
      <c r="I99" s="54" t="inlineStr">
        <is>
          <t>–</t>
        </is>
      </c>
      <c r="J99" s="49" t="inlineStr">
        <is>
          <t>Sjekk!</t>
        </is>
      </c>
      <c r="K99" s="53" t="inlineStr">
        <is>
          <t>–</t>
        </is>
      </c>
    </row>
    <row r="100" ht="14.25" customHeight="1" s="74">
      <c r="A100" s="47" t="n"/>
      <c r="B100" s="48" t="inlineStr">
        <is>
          <t>IKM Karsten Moholt AS</t>
        </is>
      </c>
      <c r="C100" s="49" t="inlineStr">
        <is>
          <t>Sagt opp</t>
        </is>
      </c>
      <c r="D100" s="50" t="inlineStr">
        <is>
          <t>–</t>
        </is>
      </c>
      <c r="E100" s="50" t="inlineStr">
        <is>
          <t>–</t>
        </is>
      </c>
      <c r="F100" s="51" t="inlineStr">
        <is>
          <t>–</t>
        </is>
      </c>
      <c r="G100" s="52" t="inlineStr">
        <is>
          <t>Siste faktura juni 2025</t>
        </is>
      </c>
      <c r="H100" s="53" t="inlineStr">
        <is>
          <t>–</t>
        </is>
      </c>
      <c r="I100" s="54" t="inlineStr">
        <is>
          <t>–</t>
        </is>
      </c>
      <c r="J100" s="49" t="inlineStr">
        <is>
          <t>Sjekk!</t>
        </is>
      </c>
      <c r="K100" s="53" t="inlineStr">
        <is>
          <t>–</t>
        </is>
      </c>
    </row>
    <row r="101" ht="24" customHeight="1" s="74"/>
    <row r="102" ht="24" customHeight="1" s="74">
      <c r="A102" s="68" t="inlineStr">
        <is>
          <t>BEREGNET TOTAL juli 2026 (ekskl. mva)</t>
        </is>
      </c>
      <c r="B102" s="69" t="n"/>
      <c r="C102" s="69" t="n"/>
      <c r="D102" s="69" t="n"/>
      <c r="E102" s="69" t="n"/>
      <c r="F102" s="69" t="n"/>
      <c r="G102" s="69" t="n"/>
      <c r="H102" s="69" t="n"/>
      <c r="I102" s="70" t="n"/>
      <c r="J102" s="55">
        <f>SUM(I4:I93)</f>
        <v/>
      </c>
    </row>
    <row r="103" ht="36" customHeight="1" s="74">
      <c r="A103" s="68" t="inlineStr">
        <is>
          <t>FAKTISK TOTAL Tripletex juli 2026 (ekskl. mva)</t>
        </is>
      </c>
      <c r="B103" s="69" t="n"/>
      <c r="C103" s="69" t="n"/>
      <c r="D103" s="69" t="n"/>
      <c r="E103" s="69" t="n"/>
      <c r="F103" s="69" t="n"/>
      <c r="G103" s="69" t="n"/>
      <c r="H103" s="69" t="n"/>
      <c r="I103" s="70" t="n"/>
      <c r="J103" s="55">
        <f>SUM(J4:J93)</f>
        <v/>
      </c>
      <c r="K103" s="56">
        <f>J103-J102</f>
        <v/>
      </c>
    </row>
    <row r="104">
      <c r="A104" t="inlineStr">
        <is>
          <t>AVVENTER PRISMODELL (nye køer funnet i Zisson, ikke fakturert ennå)</t>
        </is>
      </c>
    </row>
    <row r="105">
      <c r="A105" t="n">
        <v>79</v>
      </c>
      <c r="B105" t="inlineStr">
        <is>
          <t>Kinnarps</t>
        </is>
      </c>
      <c r="C105" t="inlineStr">
        <is>
          <t>Avventer prismodell</t>
        </is>
      </c>
      <c r="G105" t="inlineStr">
        <is>
          <t>Ny kø funnet i Zisson august 2026 (5439) – prismodell ikke avtalt ennå</t>
        </is>
      </c>
      <c r="H105" t="n">
        <v>29</v>
      </c>
    </row>
    <row r="106">
      <c r="A106" t="n">
        <v>80</v>
      </c>
      <c r="B106" t="inlineStr">
        <is>
          <t>T. Solbakken Trafikkskole</t>
        </is>
      </c>
      <c r="C106" t="inlineStr">
        <is>
          <t>Avventer prismodell</t>
        </is>
      </c>
      <c r="G106" t="inlineStr">
        <is>
          <t>Ny kø funnet i Zisson august 2026 (2963) – prismodell ikke avtalt ennå</t>
        </is>
      </c>
      <c r="H106" t="n">
        <v>59</v>
      </c>
    </row>
  </sheetData>
  <mergeCells count="20">
    <mergeCell ref="A83:K83"/>
    <mergeCell ref="A30:K30"/>
    <mergeCell ref="M67:Q67"/>
    <mergeCell ref="A1:K1"/>
    <mergeCell ref="M45:R45"/>
    <mergeCell ref="A65:K65"/>
    <mergeCell ref="M10:Q10"/>
    <mergeCell ref="A80:K80"/>
    <mergeCell ref="A75:K75"/>
    <mergeCell ref="A3:K3"/>
    <mergeCell ref="M86:Q86"/>
    <mergeCell ref="A95:K95"/>
    <mergeCell ref="A102:I102"/>
    <mergeCell ref="M90:P90"/>
    <mergeCell ref="A53:K53"/>
    <mergeCell ref="A103:I103"/>
    <mergeCell ref="M23:Q23"/>
    <mergeCell ref="M32:Q32"/>
    <mergeCell ref="M15:S15"/>
    <mergeCell ref="M33:P33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5"/>
  <sheetViews>
    <sheetView zoomScaleNormal="100" workbookViewId="0">
      <selection activeCell="A1" sqref="A1"/>
    </sheetView>
  </sheetViews>
  <sheetFormatPr baseColWidth="10" defaultColWidth="9" defaultRowHeight="14.25"/>
  <sheetData>
    <row r="1" ht="14.25" customHeight="1" s="74">
      <c r="A1" t="inlineStr">
        <is>
          <t>STD_Fra</t>
        </is>
      </c>
      <c r="B1" t="inlineStr">
        <is>
          <t>STD_Pris</t>
        </is>
      </c>
      <c r="D1" t="inlineStr">
        <is>
          <t>CEG_Fra</t>
        </is>
      </c>
      <c r="E1" t="inlineStr">
        <is>
          <t>CEG_Pris</t>
        </is>
      </c>
      <c r="G1" t="inlineStr">
        <is>
          <t>CORO_Fra</t>
        </is>
      </c>
      <c r="H1" t="inlineStr">
        <is>
          <t>CORO_Pris</t>
        </is>
      </c>
      <c r="J1" t="inlineStr">
        <is>
          <t>EFAS_Fra</t>
        </is>
      </c>
      <c r="K1" t="inlineStr">
        <is>
          <t>EFAS_Pris</t>
        </is>
      </c>
      <c r="M1" t="inlineStr">
        <is>
          <t>ENRX_Fra</t>
        </is>
      </c>
      <c r="N1" t="inlineStr">
        <is>
          <t>ENRX_Pris</t>
        </is>
      </c>
      <c r="P1" t="inlineStr">
        <is>
          <t>PROMON_Fra</t>
        </is>
      </c>
      <c r="Q1" t="inlineStr">
        <is>
          <t>PROMON_Pris</t>
        </is>
      </c>
    </row>
    <row r="2" ht="14.25" customHeight="1" s="74">
      <c r="A2" t="n">
        <v>0</v>
      </c>
      <c r="B2" t="n">
        <v>2960</v>
      </c>
      <c r="D2" t="n">
        <v>0</v>
      </c>
      <c r="E2" t="n">
        <v>1500</v>
      </c>
      <c r="G2" t="n">
        <v>0</v>
      </c>
      <c r="H2" t="n">
        <v>2885</v>
      </c>
      <c r="J2" t="n">
        <v>0</v>
      </c>
      <c r="K2" t="n">
        <v>1330</v>
      </c>
      <c r="M2" t="n">
        <v>0</v>
      </c>
      <c r="N2" t="n">
        <v>2580</v>
      </c>
      <c r="P2" t="n">
        <v>0</v>
      </c>
      <c r="Q2" t="n">
        <v>7410</v>
      </c>
    </row>
    <row r="3" ht="14.25" customHeight="1" s="74">
      <c r="A3" t="n">
        <v>100</v>
      </c>
      <c r="B3" t="n">
        <v>3580</v>
      </c>
      <c r="D3" t="n">
        <v>70</v>
      </c>
      <c r="E3" t="n">
        <v>2280</v>
      </c>
      <c r="G3" t="n">
        <v>100</v>
      </c>
      <c r="H3" t="n">
        <v>3303</v>
      </c>
      <c r="J3" t="n">
        <v>31</v>
      </c>
      <c r="K3" t="n">
        <v>1540</v>
      </c>
      <c r="M3" t="n">
        <v>100</v>
      </c>
      <c r="N3" t="n">
        <v>3100</v>
      </c>
      <c r="P3" t="n">
        <v>100</v>
      </c>
      <c r="Q3" t="n">
        <v>10550</v>
      </c>
    </row>
    <row r="4" ht="14.25" customHeight="1" s="74">
      <c r="A4" t="n">
        <v>150</v>
      </c>
      <c r="B4" t="n">
        <v>4090</v>
      </c>
      <c r="D4" t="n">
        <v>90</v>
      </c>
      <c r="E4" t="n">
        <v>2870</v>
      </c>
      <c r="G4" t="n">
        <v>150</v>
      </c>
      <c r="H4" t="n">
        <v>3756</v>
      </c>
      <c r="J4" t="n">
        <v>41</v>
      </c>
      <c r="K4" t="n">
        <v>1780</v>
      </c>
      <c r="M4" t="n">
        <v>150</v>
      </c>
      <c r="N4" t="n">
        <v>3600</v>
      </c>
      <c r="P4" t="n">
        <v>150</v>
      </c>
      <c r="Q4" t="n">
        <v>13830</v>
      </c>
    </row>
    <row r="5" ht="14.25" customHeight="1" s="74">
      <c r="A5" t="n">
        <v>200</v>
      </c>
      <c r="B5" t="n">
        <v>4670</v>
      </c>
      <c r="D5" t="n">
        <v>110</v>
      </c>
      <c r="E5" t="n">
        <v>3260</v>
      </c>
      <c r="G5" t="n">
        <v>200</v>
      </c>
      <c r="H5" t="n">
        <v>4314</v>
      </c>
      <c r="J5" t="n">
        <v>51</v>
      </c>
      <c r="K5" t="n">
        <v>1980</v>
      </c>
      <c r="M5" t="n">
        <v>200</v>
      </c>
      <c r="N5" t="n">
        <v>4150</v>
      </c>
      <c r="P5" t="n">
        <v>200</v>
      </c>
      <c r="Q5" t="n">
        <v>17510</v>
      </c>
    </row>
    <row r="6" ht="14.25" customHeight="1" s="74">
      <c r="A6" t="n">
        <v>250</v>
      </c>
      <c r="B6" t="n">
        <v>5760</v>
      </c>
      <c r="D6" t="n">
        <v>130</v>
      </c>
      <c r="E6" t="n">
        <v>3450</v>
      </c>
      <c r="G6" t="n">
        <v>250</v>
      </c>
      <c r="H6" t="n">
        <v>5315</v>
      </c>
      <c r="J6" t="n">
        <v>61</v>
      </c>
      <c r="K6" t="n">
        <v>2200</v>
      </c>
      <c r="M6" t="n">
        <v>250</v>
      </c>
      <c r="N6" t="n">
        <v>4640</v>
      </c>
    </row>
    <row r="7" ht="14.25" customHeight="1" s="74">
      <c r="A7" t="n">
        <v>300</v>
      </c>
      <c r="B7" t="n">
        <v>6830</v>
      </c>
      <c r="D7" t="n">
        <v>150</v>
      </c>
      <c r="E7" t="n">
        <v>3810</v>
      </c>
      <c r="G7" t="n">
        <v>300</v>
      </c>
      <c r="H7" t="n">
        <v>6275</v>
      </c>
      <c r="J7" t="n">
        <v>71</v>
      </c>
      <c r="K7" t="n">
        <v>2495</v>
      </c>
    </row>
    <row r="8" ht="14.25" customHeight="1" s="74">
      <c r="A8" t="n">
        <v>350</v>
      </c>
      <c r="B8" t="n">
        <v>7920</v>
      </c>
      <c r="D8" t="n">
        <v>170</v>
      </c>
      <c r="E8" t="n">
        <v>4020</v>
      </c>
      <c r="G8" t="n">
        <v>350</v>
      </c>
      <c r="H8" t="n">
        <v>7306</v>
      </c>
      <c r="J8" t="n">
        <v>81</v>
      </c>
      <c r="K8" t="n">
        <v>2850</v>
      </c>
    </row>
    <row r="9" ht="14.25" customHeight="1" s="74">
      <c r="A9" t="n">
        <v>400</v>
      </c>
      <c r="B9" t="n">
        <v>8980</v>
      </c>
      <c r="D9" t="n">
        <v>190</v>
      </c>
      <c r="E9" t="n">
        <v>4260</v>
      </c>
      <c r="G9" t="n">
        <v>400</v>
      </c>
      <c r="H9" t="n">
        <v>8308</v>
      </c>
    </row>
    <row r="10" ht="14.25" customHeight="1" s="74">
      <c r="A10" t="n">
        <v>450</v>
      </c>
      <c r="B10" t="n">
        <v>10080</v>
      </c>
      <c r="D10" t="n">
        <v>210</v>
      </c>
      <c r="E10" t="n">
        <v>4490</v>
      </c>
      <c r="G10" t="n">
        <v>450</v>
      </c>
      <c r="H10" t="n">
        <v>9278</v>
      </c>
    </row>
    <row r="11" ht="14.25" customHeight="1" s="74">
      <c r="A11" t="n">
        <v>500</v>
      </c>
      <c r="B11" t="n">
        <v>11150</v>
      </c>
      <c r="D11" t="n">
        <v>230</v>
      </c>
      <c r="E11" t="n">
        <v>4860</v>
      </c>
      <c r="G11" t="n">
        <v>500</v>
      </c>
      <c r="H11" t="n">
        <v>10392</v>
      </c>
    </row>
    <row r="12" ht="14.25" customHeight="1" s="74">
      <c r="A12" t="n">
        <v>550</v>
      </c>
      <c r="B12" t="n">
        <v>12200</v>
      </c>
      <c r="D12" t="n">
        <v>250</v>
      </c>
      <c r="E12" t="n">
        <v>5280</v>
      </c>
      <c r="G12" t="n">
        <v>550</v>
      </c>
      <c r="H12" t="n">
        <v>11228</v>
      </c>
    </row>
    <row r="13" ht="14.25" customHeight="1" s="74">
      <c r="A13" t="n">
        <v>600</v>
      </c>
      <c r="B13" t="n">
        <v>13260</v>
      </c>
      <c r="D13" t="n">
        <v>270</v>
      </c>
      <c r="E13" t="n">
        <v>5690</v>
      </c>
    </row>
    <row r="14" ht="14.25" customHeight="1" s="74">
      <c r="A14" t="n">
        <v>650</v>
      </c>
      <c r="B14" t="n">
        <v>14360</v>
      </c>
      <c r="D14" t="n">
        <v>290</v>
      </c>
      <c r="E14" t="n">
        <v>6100</v>
      </c>
    </row>
    <row r="15" ht="14.25" customHeight="1" s="74">
      <c r="A15" t="n">
        <v>700</v>
      </c>
      <c r="B15" t="n">
        <v>15430</v>
      </c>
      <c r="D15" t="n">
        <v>310</v>
      </c>
      <c r="E15" t="n">
        <v>6520</v>
      </c>
    </row>
    <row r="16" ht="14.25" customHeight="1" s="74">
      <c r="A16" t="n">
        <v>750</v>
      </c>
      <c r="B16" t="n">
        <v>16530</v>
      </c>
      <c r="D16" t="n">
        <v>330</v>
      </c>
      <c r="E16" t="n">
        <v>6940</v>
      </c>
    </row>
    <row r="17" ht="14.25" customHeight="1" s="74">
      <c r="A17" t="n">
        <v>800</v>
      </c>
      <c r="B17" t="n">
        <v>17590</v>
      </c>
      <c r="D17" t="n">
        <v>350</v>
      </c>
      <c r="E17" t="n">
        <v>7370</v>
      </c>
    </row>
    <row r="18" ht="14.25" customHeight="1" s="74">
      <c r="A18" t="n">
        <v>850</v>
      </c>
      <c r="B18" t="n">
        <v>18680</v>
      </c>
      <c r="D18" t="n">
        <v>370</v>
      </c>
      <c r="E18" t="n">
        <v>7790</v>
      </c>
    </row>
    <row r="19" ht="14.25" customHeight="1" s="74">
      <c r="A19" t="n">
        <v>900</v>
      </c>
      <c r="B19" t="n">
        <v>19750</v>
      </c>
      <c r="D19" t="n">
        <v>390</v>
      </c>
      <c r="E19" t="n">
        <v>8200</v>
      </c>
    </row>
    <row r="20" ht="14.25" customHeight="1" s="74">
      <c r="A20" t="n">
        <v>950</v>
      </c>
      <c r="B20" t="n">
        <v>20820</v>
      </c>
      <c r="D20" t="n">
        <v>410</v>
      </c>
      <c r="E20" t="n">
        <v>8610</v>
      </c>
    </row>
    <row r="21" ht="14.25" customHeight="1" s="74">
      <c r="A21" t="n">
        <v>1000</v>
      </c>
      <c r="B21" t="n">
        <v>23000</v>
      </c>
      <c r="D21" t="n">
        <v>430</v>
      </c>
      <c r="E21" t="n">
        <v>9020</v>
      </c>
    </row>
    <row r="22" ht="14.25" customHeight="1" s="74">
      <c r="A22" t="n">
        <v>1100</v>
      </c>
      <c r="B22" t="n">
        <v>24100</v>
      </c>
      <c r="D22" t="n">
        <v>450</v>
      </c>
      <c r="E22" t="n">
        <v>9440</v>
      </c>
    </row>
    <row r="23" ht="14.25" customHeight="1" s="74">
      <c r="A23" t="n">
        <v>1200</v>
      </c>
      <c r="B23" t="n">
        <v>26260</v>
      </c>
      <c r="D23" t="n">
        <v>470</v>
      </c>
      <c r="E23" t="n">
        <v>9860</v>
      </c>
    </row>
    <row r="24" ht="14.25" customHeight="1" s="74">
      <c r="A24" t="n">
        <v>1300</v>
      </c>
      <c r="B24" t="n">
        <v>28400</v>
      </c>
    </row>
    <row r="25" ht="14.25" customHeight="1" s="74">
      <c r="A25" t="n">
        <v>1400</v>
      </c>
      <c r="B25" t="n">
        <v>30240</v>
      </c>
    </row>
    <row r="26" ht="14.25" customHeight="1" s="74">
      <c r="A26" t="n">
        <v>1500</v>
      </c>
      <c r="B26" t="n">
        <v>32710</v>
      </c>
    </row>
    <row r="27" ht="14.25" customHeight="1" s="74">
      <c r="A27" t="n">
        <v>1600</v>
      </c>
      <c r="B27" t="n">
        <v>34890</v>
      </c>
    </row>
    <row r="28" ht="14.25" customHeight="1" s="74">
      <c r="A28" t="n">
        <v>1700</v>
      </c>
      <c r="B28" t="n">
        <v>37060</v>
      </c>
    </row>
    <row r="29" ht="14.25" customHeight="1" s="74">
      <c r="A29" t="n">
        <v>1800</v>
      </c>
      <c r="B29" t="n">
        <v>39200</v>
      </c>
    </row>
    <row r="30" ht="14.25" customHeight="1" s="74">
      <c r="A30" t="n">
        <v>1900</v>
      </c>
      <c r="B30" t="n">
        <v>41380</v>
      </c>
    </row>
    <row r="31" ht="14.25" customHeight="1" s="74">
      <c r="A31" t="n">
        <v>2000</v>
      </c>
      <c r="B31" t="n">
        <v>43500</v>
      </c>
    </row>
    <row r="32" ht="14.25" customHeight="1" s="74">
      <c r="A32" t="n">
        <v>2100</v>
      </c>
      <c r="B32" t="n">
        <v>45650</v>
      </c>
    </row>
    <row r="33" ht="14.25" customHeight="1" s="74">
      <c r="A33" t="n">
        <v>2200</v>
      </c>
      <c r="B33" t="n">
        <v>47850</v>
      </c>
    </row>
    <row r="34" ht="14.25" customHeight="1" s="74">
      <c r="A34" t="n">
        <v>2300</v>
      </c>
      <c r="B34" t="n">
        <v>49980</v>
      </c>
    </row>
    <row r="35" ht="14.25" customHeight="1" s="74">
      <c r="A35" t="n">
        <v>2400</v>
      </c>
      <c r="B35" t="n">
        <v>52160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2026-07-02T14:32:01Z</dcterms:created>
  <dcterms:modified xmlns:dcterms="http://purl.org/dc/terms/" xmlns:xsi="http://www.w3.org/2001/XMLSchema-instance" xsi:type="dcterms:W3CDTF">2026-09-01T19:16:17Z</dcterms:modified>
  <cp:lastModifiedBy>Geir Bodin</cp:lastModifiedBy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0x010100E7E4665F0A1FE740A8B78A90E5340A22</vt:lpwstr>
  </property>
  <property name="MediaServiceImageTags" fmtid="{D5CDD505-2E9C-101B-9397-08002B2CF9AE}" pid="3">
    <vt:lpwstr xmlns:vt="http://schemas.openxmlformats.org/officeDocument/2006/docPropsVTypes"/>
  </property>
</Properties>
</file>