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320" yWindow="5745" windowWidth="19500" windowHeight="15345" tabRatio="500" firstSheet="0" activeTab="0" autoFilterDateGrouping="1"/>
  </bookViews>
  <sheets>
    <sheet xmlns:r="http://schemas.openxmlformats.org/officeDocument/2006/relationships" name="Juni 2026" sheetId="1" state="visible" r:id="rId1"/>
    <sheet xmlns:r="http://schemas.openxmlformats.org/officeDocument/2006/relationships" name="CEG-tabel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i val="1"/>
      <color rgb="FFFFFFFF"/>
      <sz val="11"/>
    </font>
    <font>
      <name val="Arial"/>
      <charset val="1"/>
      <b val="1"/>
      <color rgb="FF000000"/>
      <sz val="11"/>
    </font>
    <font>
      <name val="Arial"/>
      <charset val="1"/>
      <i val="1"/>
      <color rgb="FF555555"/>
      <sz val="11"/>
    </font>
    <font>
      <name val="Arial"/>
      <charset val="1"/>
      <color rgb="FF0000FF"/>
      <sz val="11"/>
    </font>
    <font>
      <name val="Arial"/>
      <charset val="1"/>
      <i val="1"/>
      <color rgb="FF555555"/>
      <sz val="9"/>
    </font>
    <font>
      <name val="Arial"/>
      <charset val="1"/>
      <color rgb="FF000000"/>
      <sz val="11"/>
    </font>
    <font>
      <name val="Arial"/>
      <charset val="1"/>
      <color rgb="FF888888"/>
      <sz val="11"/>
    </font>
  </fonts>
  <fills count="7">
    <fill>
      <patternFill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CE6F1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CE6F1"/>
      </patternFill>
    </fill>
    <fill>
      <patternFill patternType="solid">
        <fgColor rgb="FFC6EFCE"/>
        <bgColor rgb="FFE2EFDA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3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3" fontId="7" fillId="3" borderId="0" applyAlignment="1" pivotButton="0" quotePrefix="0" xfId="0">
      <alignment horizontal="center" vertical="center"/>
    </xf>
    <xf numFmtId="3" fontId="8" fillId="3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B8B8"/>
      <rgbColor rgb="FF888888"/>
      <rgbColor rgb="FF9999FF"/>
      <rgbColor rgb="FF993366"/>
      <rgbColor rgb="FFE2EFDA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zoomScaleNormal="100" workbookViewId="0">
      <selection activeCell="G18" sqref="G18"/>
    </sheetView>
  </sheetViews>
  <sheetFormatPr baseColWidth="10" defaultColWidth="8.7109375" defaultRowHeight="15"/>
  <cols>
    <col width="28" customWidth="1" min="1" max="1"/>
    <col width="16" customWidth="1" min="2" max="2"/>
    <col width="14" customWidth="1" min="3" max="4"/>
    <col width="20" customWidth="1" min="5" max="6"/>
  </cols>
  <sheetData>
    <row r="1" ht="30" customHeight="1">
      <c r="A1" s="22" t="inlineStr">
        <is>
          <t>NEMUS – Anropsfordeling per klinikk</t>
        </is>
      </c>
    </row>
    <row r="2" ht="21.75" customHeight="1">
      <c r="A2" s="23" t="inlineStr">
        <is>
          <t>August 2026  |  Totalt fra Zisson: se celle B5</t>
        </is>
      </c>
    </row>
    <row r="4" ht="19.5" customHeight="1">
      <c r="A4" s="2" t="inlineStr">
        <is>
          <t>TOTALT besvart (fra Zisson)</t>
        </is>
      </c>
      <c r="B4" s="3" t="inlineStr">
        <is>
          <t>→ Fyll inn</t>
        </is>
      </c>
    </row>
    <row r="5" ht="21.75" customHeight="1">
      <c r="A5" s="4" t="inlineStr">
        <is>
          <t>Totalt anrop juni 2026</t>
        </is>
      </c>
      <c r="B5" s="5" t="n">
        <v>398</v>
      </c>
      <c r="C5" s="24" t="inlineStr">
        <is>
          <t>← Oppdater ved ny Zisson-rapport</t>
        </is>
      </c>
    </row>
    <row r="7" ht="21.75" customHeight="1">
      <c r="A7" s="6" t="inlineStr">
        <is>
          <t>Klinikk</t>
        </is>
      </c>
      <c r="B7" s="6" t="inlineStr">
        <is>
          <t>Anrop (manuell)</t>
        </is>
      </c>
      <c r="C7" s="6" t="inlineStr">
        <is>
          <t>CEG-beløp</t>
        </is>
      </c>
      <c r="D7" s="6" t="inlineStr">
        <is>
          <t>+ 199 abo</t>
        </is>
      </c>
      <c r="E7" s="6" t="inlineStr">
        <is>
          <t>Total beløp</t>
        </is>
      </c>
      <c r="F7" s="6" t="inlineStr">
        <is>
          <t>Notat / kontroll</t>
        </is>
      </c>
    </row>
    <row r="8" ht="21.75" customHeight="1">
      <c r="A8" s="4" t="inlineStr">
        <is>
          <t>Horten</t>
        </is>
      </c>
      <c r="B8" s="5" t="n">
        <v>94</v>
      </c>
      <c r="C8" s="7">
        <f>IFERROR(VLOOKUP(B8,'CEG-tabell'!$A$2:$B$22,2,TRUE()),"Utenfor tabell")</f>
        <v/>
      </c>
      <c r="D8" s="7">
        <f>IF(ISNUMBER(C8),199,0)</f>
        <v/>
      </c>
      <c r="E8" s="8">
        <f>IF(ISNUMBER(C8),C8+D8,"–")</f>
        <v/>
      </c>
      <c r="F8" s="9" t="n"/>
    </row>
    <row r="9" ht="21.75" customHeight="1">
      <c r="A9" s="10" t="inlineStr">
        <is>
          <t>Larvik</t>
        </is>
      </c>
      <c r="B9" s="5" t="n">
        <v>64</v>
      </c>
      <c r="C9" s="11">
        <f>IFERROR(VLOOKUP(B9,'CEG-tabell'!$A$2:$B$22,2,TRUE()),"Utenfor tabell")</f>
        <v/>
      </c>
      <c r="D9" s="11">
        <f>IF(ISNUMBER(C9),199,0)</f>
        <v/>
      </c>
      <c r="E9" s="12">
        <f>IF(ISNUMBER(C9),C9+D9,"–")</f>
        <v/>
      </c>
      <c r="F9" s="9" t="n"/>
    </row>
    <row r="10" ht="21.75" customHeight="1">
      <c r="A10" s="4" t="inlineStr">
        <is>
          <t>Nøtterøy</t>
        </is>
      </c>
      <c r="B10" s="5" t="n">
        <v>72</v>
      </c>
      <c r="C10" s="7">
        <f>IFERROR(VLOOKUP(B10,'CEG-tabell'!$A$2:$B$22,2,TRUE()),"Utenfor tabell")</f>
        <v/>
      </c>
      <c r="D10" s="7">
        <f>IF(ISNUMBER(C10),199,0)</f>
        <v/>
      </c>
      <c r="E10" s="8">
        <f>IF(ISNUMBER(C10),C10+D10,"–")</f>
        <v/>
      </c>
      <c r="F10" s="9" t="n"/>
    </row>
    <row r="11" ht="21.75" customHeight="1">
      <c r="A11" s="10" t="inlineStr">
        <is>
          <t>Sandefjord</t>
        </is>
      </c>
      <c r="B11" s="5" t="n">
        <v>72</v>
      </c>
      <c r="C11" s="11">
        <f>IFERROR(VLOOKUP(B11,'CEG-tabell'!$A$2:$B$22,2,TRUE()),"Utenfor tabell")</f>
        <v/>
      </c>
      <c r="D11" s="11">
        <f>IF(ISNUMBER(C11),199,0)</f>
        <v/>
      </c>
      <c r="E11" s="12">
        <f>IF(ISNUMBER(C11),C11+D11,"–")</f>
        <v/>
      </c>
      <c r="F11" s="9" t="n"/>
    </row>
    <row r="12" ht="21.75" customHeight="1">
      <c r="A12" s="4" t="inlineStr">
        <is>
          <t>Tønsberg</t>
        </is>
      </c>
      <c r="B12" s="5" t="n">
        <v>96</v>
      </c>
      <c r="C12" s="7">
        <f>IFERROR(VLOOKUP(B12,'CEG-tabell'!$A$2:$B$22,2,TRUE()),"Utenfor tabell")</f>
        <v/>
      </c>
      <c r="D12" s="7">
        <f>IF(ISNUMBER(C12),199,0)</f>
        <v/>
      </c>
      <c r="E12" s="8">
        <f>IF(ISNUMBER(C12),C12+D12,"–")</f>
        <v/>
      </c>
      <c r="F12" s="9" t="n"/>
    </row>
    <row r="13" ht="24" customHeight="1">
      <c r="A13" s="13" t="inlineStr">
        <is>
          <t>TOTALT</t>
        </is>
      </c>
      <c r="B13" s="14">
        <f>SUM(B8:B12)</f>
        <v/>
      </c>
      <c r="C13" s="15">
        <f>SUM(C8:C12)</f>
        <v/>
      </c>
      <c r="D13" s="15">
        <f>SUM(D8:D12)</f>
        <v/>
      </c>
      <c r="E13" s="15">
        <f>SUM(E8:E12)</f>
        <v/>
      </c>
      <c r="F13" s="16">
        <f>IF(B13=B5,"✓ Stemmer","⚠ Avvik: "&amp;(B13-B5)&amp;" anrop")</f>
        <v/>
      </c>
    </row>
    <row r="15" ht="18" customHeight="1">
      <c r="A15" s="25" t="inlineStr">
        <is>
          <t>Instruksjoner:</t>
        </is>
      </c>
    </row>
    <row r="16" ht="18" customHeight="1">
      <c r="A16" s="21" t="inlineStr">
        <is>
          <t>1. Fyll inn antall anrop per klinikk i kolonne B (gul) basert på manuell registrering i Teams.</t>
        </is>
      </c>
    </row>
    <row r="17" ht="18" customHeight="1">
      <c r="A17" s="21" t="inlineStr">
        <is>
          <t>2. Kolonne F viser om totalen stemmer med Zisson (celle B5). Bør vise ✓ Stemmer.</t>
        </is>
      </c>
    </row>
    <row r="18" ht="18" customHeight="1">
      <c r="A18" s="21" t="inlineStr">
        <is>
          <t>3. Prismodell: CEG-tabell 2026 per klinikk + kr 199 fast abonnement per klinikk.</t>
        </is>
      </c>
    </row>
  </sheetData>
  <mergeCells count="7">
    <mergeCell ref="A2:F2"/>
    <mergeCell ref="A16:F16"/>
    <mergeCell ref="A1:F1"/>
    <mergeCell ref="A17:F17"/>
    <mergeCell ref="A18:F18"/>
    <mergeCell ref="C5:F5"/>
    <mergeCell ref="A15:F15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7109375" defaultRowHeight="15"/>
  <cols>
    <col width="14" customWidth="1" min="1" max="3"/>
  </cols>
  <sheetData>
    <row r="1" ht="15" customHeight="1">
      <c r="A1" s="22" t="inlineStr">
        <is>
          <t>Fra (anrop)</t>
        </is>
      </c>
      <c r="B1" s="22" t="inlineStr">
        <is>
          <t>Pris (kr)</t>
        </is>
      </c>
      <c r="C1" s="22" t="inlineStr">
        <is>
          <t>Til (info)</t>
        </is>
      </c>
    </row>
    <row r="2" ht="15" customHeight="1">
      <c r="A2" s="17" t="n">
        <v>0</v>
      </c>
      <c r="B2" s="17" t="n">
        <v>1500</v>
      </c>
      <c r="C2" s="18" t="n">
        <v>69</v>
      </c>
    </row>
    <row r="3" ht="15" customHeight="1">
      <c r="A3" s="19" t="n">
        <v>70</v>
      </c>
      <c r="B3" s="19" t="n">
        <v>2280</v>
      </c>
      <c r="C3" s="20" t="n">
        <v>89</v>
      </c>
    </row>
    <row r="4" ht="15" customHeight="1">
      <c r="A4" s="17" t="n">
        <v>90</v>
      </c>
      <c r="B4" s="17" t="n">
        <v>2870</v>
      </c>
      <c r="C4" s="18" t="n">
        <v>109</v>
      </c>
    </row>
    <row r="5" ht="15" customHeight="1">
      <c r="A5" s="19" t="n">
        <v>110</v>
      </c>
      <c r="B5" s="19" t="n">
        <v>3260</v>
      </c>
      <c r="C5" s="20" t="n">
        <v>129</v>
      </c>
    </row>
    <row r="6" ht="15" customHeight="1">
      <c r="A6" s="17" t="n">
        <v>130</v>
      </c>
      <c r="B6" s="17" t="n">
        <v>3450</v>
      </c>
      <c r="C6" s="18" t="n">
        <v>149</v>
      </c>
    </row>
    <row r="7" ht="15" customHeight="1">
      <c r="A7" s="19" t="n">
        <v>150</v>
      </c>
      <c r="B7" s="19" t="n">
        <v>3810</v>
      </c>
      <c r="C7" s="20" t="n">
        <v>169</v>
      </c>
    </row>
    <row r="8" ht="15" customHeight="1">
      <c r="A8" s="17" t="n">
        <v>170</v>
      </c>
      <c r="B8" s="17" t="n">
        <v>4020</v>
      </c>
      <c r="C8" s="18" t="n">
        <v>189</v>
      </c>
    </row>
    <row r="9" ht="15" customHeight="1">
      <c r="A9" s="19" t="n">
        <v>190</v>
      </c>
      <c r="B9" s="19" t="n">
        <v>4260</v>
      </c>
      <c r="C9" s="20" t="n">
        <v>209</v>
      </c>
    </row>
    <row r="10" ht="15" customHeight="1">
      <c r="A10" s="17" t="n">
        <v>210</v>
      </c>
      <c r="B10" s="17" t="n">
        <v>4490</v>
      </c>
      <c r="C10" s="18" t="n">
        <v>229</v>
      </c>
    </row>
    <row r="11" ht="15" customHeight="1">
      <c r="A11" s="19" t="n">
        <v>230</v>
      </c>
      <c r="B11" s="19" t="n">
        <v>4860</v>
      </c>
      <c r="C11" s="20" t="n">
        <v>249</v>
      </c>
    </row>
    <row r="12" ht="15" customHeight="1">
      <c r="A12" s="17" t="n">
        <v>250</v>
      </c>
      <c r="B12" s="17" t="n">
        <v>5280</v>
      </c>
      <c r="C12" s="18" t="n">
        <v>269</v>
      </c>
    </row>
    <row r="13" ht="15" customHeight="1">
      <c r="A13" s="19" t="n">
        <v>270</v>
      </c>
      <c r="B13" s="19" t="n">
        <v>5690</v>
      </c>
      <c r="C13" s="20" t="n">
        <v>289</v>
      </c>
    </row>
    <row r="14" ht="15" customHeight="1">
      <c r="A14" s="17" t="n">
        <v>290</v>
      </c>
      <c r="B14" s="17" t="n">
        <v>6100</v>
      </c>
      <c r="C14" s="18" t="n">
        <v>309</v>
      </c>
    </row>
    <row r="15" ht="15" customHeight="1">
      <c r="A15" s="19" t="n">
        <v>310</v>
      </c>
      <c r="B15" s="19" t="n">
        <v>6520</v>
      </c>
      <c r="C15" s="20" t="n">
        <v>329</v>
      </c>
    </row>
    <row r="16" ht="15" customHeight="1">
      <c r="A16" s="17" t="n">
        <v>330</v>
      </c>
      <c r="B16" s="17" t="n">
        <v>6940</v>
      </c>
      <c r="C16" s="18" t="n">
        <v>349</v>
      </c>
    </row>
    <row r="17" ht="15" customHeight="1">
      <c r="A17" s="19" t="n">
        <v>350</v>
      </c>
      <c r="B17" s="19" t="n">
        <v>7370</v>
      </c>
      <c r="C17" s="20" t="n">
        <v>369</v>
      </c>
    </row>
    <row r="18" ht="15" customHeight="1">
      <c r="A18" s="17" t="n">
        <v>370</v>
      </c>
      <c r="B18" s="17" t="n">
        <v>7790</v>
      </c>
      <c r="C18" s="18" t="n">
        <v>389</v>
      </c>
    </row>
    <row r="19" ht="15" customHeight="1">
      <c r="A19" s="19" t="n">
        <v>390</v>
      </c>
      <c r="B19" s="19" t="n">
        <v>8200</v>
      </c>
      <c r="C19" s="20" t="n">
        <v>409</v>
      </c>
    </row>
    <row r="20" ht="15" customHeight="1">
      <c r="A20" s="17" t="n">
        <v>410</v>
      </c>
      <c r="B20" s="17" t="n">
        <v>8610</v>
      </c>
      <c r="C20" s="18" t="n">
        <v>429</v>
      </c>
    </row>
    <row r="21" ht="15" customHeight="1">
      <c r="A21" s="19" t="n">
        <v>430</v>
      </c>
      <c r="B21" s="19" t="n">
        <v>9020</v>
      </c>
      <c r="C21" s="20" t="n">
        <v>449</v>
      </c>
    </row>
    <row r="22" ht="15" customHeight="1">
      <c r="A22" s="17" t="n">
        <v>450</v>
      </c>
      <c r="B22" s="17" t="n">
        <v>9440</v>
      </c>
      <c r="C22" s="18" t="n">
        <v>469</v>
      </c>
    </row>
    <row r="23" ht="15" customHeight="1">
      <c r="A23" s="19" t="n">
        <v>470</v>
      </c>
      <c r="B23" s="19" t="n">
        <v>9860</v>
      </c>
      <c r="C23" s="20" t="n">
        <v>489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2026-07-02T16:12:46Z</dcterms:created>
  <dcterms:modified xmlns:dcterms="http://purl.org/dc/terms/" xmlns:xsi="http://www.w3.org/2001/XMLSchema-instance" xsi:type="dcterms:W3CDTF">2026-09-01T19:16:17Z</dcterms:modified>
  <cp:lastModifiedBy>Kundeservice We4you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0x010100E7E4665F0A1FE740A8B78A90E5340A22</vt:lpwstr>
  </property>
  <property name="MediaServiceImageTags" fmtid="{D5CDD505-2E9C-101B-9397-08002B2CF9AE}" pid="3">
    <vt:lpwstr xmlns:vt="http://schemas.openxmlformats.org/officeDocument/2006/docPropsVTypes"/>
  </property>
</Properties>
</file>