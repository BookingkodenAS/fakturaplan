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we4youas.sharepoint.com/sites/We4you/Delte dokumenter/Internt Sharepoint/We4you/Finans/Fakturering/Fakturering Sentralbord/Fakturering 2026/"/>
    </mc:Choice>
  </mc:AlternateContent>
  <xr:revisionPtr revIDLastSave="9" documentId="8_{0E2E1484-0DBD-4E03-A06B-88599041A72C}" xr6:coauthVersionLast="47" xr6:coauthVersionMax="47" xr10:uidLastSave="{9C7DBB52-EA48-412D-B589-52E258F603D7}"/>
  <bookViews>
    <workbookView xWindow="-25320" yWindow="5745" windowWidth="19500" windowHeight="15345" tabRatio="500" xr2:uid="{00000000-000D-0000-FFFF-FFFF00000000}"/>
  </bookViews>
  <sheets>
    <sheet name="Juni 2026" sheetId="1" r:id="rId1"/>
    <sheet name="CEG-tabe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1" l="1"/>
  <c r="F13" i="1" s="1"/>
  <c r="C12" i="1"/>
  <c r="C11" i="1"/>
  <c r="D11" i="1" s="1"/>
  <c r="C10" i="1"/>
  <c r="D10" i="1" s="1"/>
  <c r="C9" i="1"/>
  <c r="C8" i="1"/>
  <c r="E11" i="1" l="1"/>
  <c r="E10" i="1"/>
  <c r="D8" i="1"/>
  <c r="D12" i="1"/>
  <c r="E12" i="1" s="1"/>
  <c r="C13" i="1"/>
  <c r="D9" i="1"/>
  <c r="E9" i="1" s="1"/>
  <c r="D13" i="1" l="1"/>
  <c r="E8" i="1"/>
  <c r="E13" i="1" s="1"/>
</calcChain>
</file>

<file path=xl/sharedStrings.xml><?xml version="1.0" encoding="utf-8"?>
<sst xmlns="http://schemas.openxmlformats.org/spreadsheetml/2006/main" count="25" uniqueCount="25">
  <si>
    <t>NEMUS – Anropsfordeling per klinikk</t>
  </si>
  <si>
    <t>TOTALT besvart (fra Zisson)</t>
  </si>
  <si>
    <t>→ Fyll inn</t>
  </si>
  <si>
    <t>Totalt anrop juni 2026</t>
  </si>
  <si>
    <t>← Oppdater ved ny Zisson-rapport</t>
  </si>
  <si>
    <t>Klinikk</t>
  </si>
  <si>
    <t>Anrop (manuell)</t>
  </si>
  <si>
    <t>CEG-beløp</t>
  </si>
  <si>
    <t>+ 199 abo</t>
  </si>
  <si>
    <t>Total beløp</t>
  </si>
  <si>
    <t>Notat / kontroll</t>
  </si>
  <si>
    <t>Horten</t>
  </si>
  <si>
    <t>Larvik</t>
  </si>
  <si>
    <t>Nøtterøy</t>
  </si>
  <si>
    <t>Sandefjord</t>
  </si>
  <si>
    <t>Tønsberg</t>
  </si>
  <si>
    <t>TOTALT</t>
  </si>
  <si>
    <t>Instruksjoner:</t>
  </si>
  <si>
    <t>1. Fyll inn antall anrop per klinikk i kolonne B (gul) basert på manuell registrering i Teams.</t>
  </si>
  <si>
    <t>2. Kolonne F viser om totalen stemmer med Zisson (celle B5). Bør vise ✓ Stemmer.</t>
  </si>
  <si>
    <t>3. Prismodell: CEG-tabell 2026 per klinikk + kr 199 fast abonnement per klinikk.</t>
  </si>
  <si>
    <t>Fra (anrop)</t>
  </si>
  <si>
    <t>Pris (kr)</t>
  </si>
  <si>
    <t>Til (info)</t>
  </si>
  <si>
    <t>August 2026  |  Totalt fra Zisson: se celle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</si>
</sst>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i/>
      <sz val="11"/>
      <color rgb="FFFFFFFF"/>
      <name val="Arial"/>
      <charset val="1"/>
    </font>
    <font>
      <b/>
      <sz val="11"/>
      <color rgb="FF000000"/>
      <name val="Arial"/>
      <charset val="1"/>
    </font>
    <font>
      <i/>
      <sz val="11"/>
      <color rgb="FF555555"/>
      <name val="Arial"/>
      <charset val="1"/>
    </font>
    <font>
      <sz val="11"/>
      <color rgb="FF0000FF"/>
      <name val="Arial"/>
      <charset val="1"/>
    </font>
    <font>
      <i/>
      <sz val="9"/>
      <color rgb="FF555555"/>
      <name val="Arial"/>
      <charset val="1"/>
    </font>
    <font>
      <sz val="11"/>
      <color rgb="FF000000"/>
      <name val="Arial"/>
      <charset val="1"/>
    </font>
    <font>
      <sz val="11"/>
      <color rgb="FF88888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DCE6F1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CE6F1"/>
      </patternFill>
    </fill>
    <fill>
      <patternFill patternType="solid">
        <fgColor rgb="FFC6EFCE"/>
        <bgColor rgb="FFE2EFDA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right" vertical="center"/>
    </xf>
    <xf numFmtId="3" fontId="3" fillId="6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3" fontId="7" fillId="3" borderId="0" xfId="0" applyNumberFormat="1" applyFont="1" applyFill="1" applyAlignment="1">
      <alignment horizontal="center" vertical="center"/>
    </xf>
    <xf numFmtId="3" fontId="8" fillId="3" borderId="0" xfId="0" applyNumberFormat="1" applyFont="1" applyFill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B8"/>
      <rgbColor rgb="FF888888"/>
      <rgbColor rgb="FF9999FF"/>
      <rgbColor rgb="FF993366"/>
      <rgbColor rgb="FFE2EFDA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Normal="100" workbookViewId="0">
      <selection activeCell="G18" sqref="G18"/>
    </sheetView>
  </sheetViews>
  <sheetFormatPr baseColWidth="10" defaultColWidth="8.7109375" defaultRowHeight="15" x14ac:dyDescent="0.25"/>
  <cols>
    <col min="1" max="1" width="28" customWidth="1"/>
    <col min="2" max="2" width="16" customWidth="1"/>
    <col min="3" max="4" width="14" customWidth="1"/>
    <col min="5" max="6" width="20" customWidth="1"/>
  </cols>
  <sheetData>
    <row r="1" spans="1:6" ht="30" customHeight="1" x14ac:dyDescent="0.25">
      <c r="A1" s="22" t="s">
        <v>0</v>
      </c>
      <c r="B1" s="22"/>
      <c r="C1" s="22"/>
      <c r="D1" s="22"/>
      <c r="E1" s="22"/>
      <c r="F1" s="22"/>
    </row>
    <row r="2" spans="1:6" ht="21.75" customHeight="1" x14ac:dyDescent="0.25">
      <c r="A2" s="23" t="s">
        <v>24</v>
      </c>
      <c r="B2" s="23"/>
      <c r="C2" s="23"/>
      <c r="D2" s="23"/>
      <c r="E2" s="23"/>
      <c r="F2" s="23"/>
    </row>
    <row r="4" spans="1:6" ht="19.5" customHeight="1" x14ac:dyDescent="0.25">
      <c r="A4" s="2" t="s">
        <v>1</v>
      </c>
      <c r="B4" s="3" t="s">
        <v>2</v>
      </c>
    </row>
    <row r="5" spans="1:6" ht="21.75" customHeight="1" x14ac:dyDescent="0.25">
      <c r="A5" s="4" t="s">
        <v>3</v>
      </c>
      <c r="B5" s="5">
        <v>398</v>
      </c>
      <c r="C5" s="24" t="s">
        <v>4</v>
      </c>
      <c r="D5" s="24"/>
      <c r="E5" s="24"/>
      <c r="F5" s="24"/>
    </row>
    <row r="7" spans="1:6" ht="21.75" customHeight="1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</row>
    <row r="8" spans="1:6" ht="21.75" customHeight="1" x14ac:dyDescent="0.25">
      <c r="A8" s="4" t="s">
        <v>11</v>
      </c>
      <c r="B8" s="5">
        <v>94</v>
      </c>
      <c r="C8" s="7">
        <f>IFERROR(VLOOKUP(B8,'CEG-tabell'!$A$2:$B$22,2,TRUE()),"Utenfor tabell")</f>
        <v>2870</v>
      </c>
      <c r="D8" s="7">
        <f>IF(ISNUMBER(C8),199,0)</f>
        <v>199</v>
      </c>
      <c r="E8" s="8">
        <f>IF(ISNUMBER(C8),C8+D8,"–")</f>
        <v>3069</v>
      </c>
      <c r="F8" s="9"/>
    </row>
    <row r="9" spans="1:6" ht="21.75" customHeight="1" x14ac:dyDescent="0.25">
      <c r="A9" s="10" t="s">
        <v>12</v>
      </c>
      <c r="B9" s="5">
        <v>64</v>
      </c>
      <c r="C9" s="11">
        <f>IFERROR(VLOOKUP(B9,'CEG-tabell'!$A$2:$B$22,2,TRUE()),"Utenfor tabell")</f>
        <v>1500</v>
      </c>
      <c r="D9" s="11">
        <f>IF(ISNUMBER(C9),199,0)</f>
        <v>199</v>
      </c>
      <c r="E9" s="12">
        <f>IF(ISNUMBER(C9),C9+D9,"–")</f>
        <v>1699</v>
      </c>
      <c r="F9" s="9"/>
    </row>
    <row r="10" spans="1:6" ht="21.75" customHeight="1" x14ac:dyDescent="0.25">
      <c r="A10" s="4" t="s">
        <v>13</v>
      </c>
      <c r="B10" s="5">
        <v>72</v>
      </c>
      <c r="C10" s="7">
        <f>IFERROR(VLOOKUP(B10,'CEG-tabell'!$A$2:$B$22,2,TRUE()),"Utenfor tabell")</f>
        <v>2280</v>
      </c>
      <c r="D10" s="7">
        <f>IF(ISNUMBER(C10),199,0)</f>
        <v>199</v>
      </c>
      <c r="E10" s="8">
        <f>IF(ISNUMBER(C10),C10+D10,"–")</f>
        <v>2479</v>
      </c>
      <c r="F10" s="9"/>
    </row>
    <row r="11" spans="1:6" ht="21.75" customHeight="1" x14ac:dyDescent="0.25">
      <c r="A11" s="10" t="s">
        <v>14</v>
      </c>
      <c r="B11" s="5">
        <v>72</v>
      </c>
      <c r="C11" s="11">
        <f>IFERROR(VLOOKUP(B11,'CEG-tabell'!$A$2:$B$22,2,TRUE()),"Utenfor tabell")</f>
        <v>2280</v>
      </c>
      <c r="D11" s="11">
        <f>IF(ISNUMBER(C11),199,0)</f>
        <v>199</v>
      </c>
      <c r="E11" s="12">
        <f>IF(ISNUMBER(C11),C11+D11,"–")</f>
        <v>2479</v>
      </c>
      <c r="F11" s="9"/>
    </row>
    <row r="12" spans="1:6" ht="21.75" customHeight="1" x14ac:dyDescent="0.25">
      <c r="A12" s="4" t="s">
        <v>15</v>
      </c>
      <c r="B12" s="5">
        <v>96</v>
      </c>
      <c r="C12" s="7">
        <f>IFERROR(VLOOKUP(B12,'CEG-tabell'!$A$2:$B$22,2,TRUE()),"Utenfor tabell")</f>
        <v>2870</v>
      </c>
      <c r="D12" s="7">
        <f>IF(ISNUMBER(C12),199,0)</f>
        <v>199</v>
      </c>
      <c r="E12" s="8">
        <f>IF(ISNUMBER(C12),C12+D12,"–")</f>
        <v>3069</v>
      </c>
      <c r="F12" s="9"/>
    </row>
    <row r="13" spans="1:6" ht="24" customHeight="1" x14ac:dyDescent="0.25">
      <c r="A13" s="13" t="s">
        <v>16</v>
      </c>
      <c r="B13" s="14">
        <f>SUM(B8:B12)</f>
        <v>398</v>
      </c>
      <c r="C13" s="15">
        <f>SUM(C8:C12)</f>
        <v>11800</v>
      </c>
      <c r="D13" s="15">
        <f>SUM(D8:D12)</f>
        <v>995</v>
      </c>
      <c r="E13" s="15">
        <f>SUM(E8:E12)</f>
        <v>12795</v>
      </c>
      <c r="F13" s="16" t="str">
        <f>IF(B13=B5,"✓ Stemmer","⚠ Avvik: "&amp;(B13-B5)&amp;" anrop")</f>
        <v>✓ Stemmer</v>
      </c>
    </row>
    <row r="15" spans="1:6" ht="18" customHeight="1" x14ac:dyDescent="0.25">
      <c r="A15" s="25" t="s">
        <v>17</v>
      </c>
      <c r="B15" s="25"/>
      <c r="C15" s="25"/>
      <c r="D15" s="25"/>
      <c r="E15" s="25"/>
      <c r="F15" s="25"/>
    </row>
    <row r="16" spans="1:6" ht="18" customHeight="1" x14ac:dyDescent="0.25">
      <c r="A16" s="21" t="s">
        <v>18</v>
      </c>
      <c r="B16" s="21"/>
      <c r="C16" s="21"/>
      <c r="D16" s="21"/>
      <c r="E16" s="21"/>
      <c r="F16" s="21"/>
    </row>
    <row r="17" spans="1:6" ht="18" customHeight="1" x14ac:dyDescent="0.25">
      <c r="A17" s="21" t="s">
        <v>19</v>
      </c>
      <c r="B17" s="21"/>
      <c r="C17" s="21"/>
      <c r="D17" s="21"/>
      <c r="E17" s="21"/>
      <c r="F17" s="21"/>
    </row>
    <row r="18" spans="1:6" ht="18" customHeight="1" x14ac:dyDescent="0.25">
      <c r="A18" s="21" t="s">
        <v>20</v>
      </c>
      <c r="B18" s="21"/>
      <c r="C18" s="21"/>
      <c r="D18" s="21"/>
      <c r="E18" s="21"/>
      <c r="F18" s="21"/>
    </row>
  </sheetData>
  <mergeCells count="7">
    <mergeCell ref="A17:F17"/>
    <mergeCell ref="A18:F18"/>
    <mergeCell ref="A1:F1"/>
    <mergeCell ref="A2:F2"/>
    <mergeCell ref="C5:F5"/>
    <mergeCell ref="A15:F15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3" width="14" customWidth="1"/>
  </cols>
  <sheetData>
    <row r="1" spans="1:3" ht="15" customHeight="1" x14ac:dyDescent="0.25">
      <c r="A1" s="1" t="s">
        <v>21</v>
      </c>
      <c r="B1" s="1" t="s">
        <v>22</v>
      </c>
      <c r="C1" s="1" t="s">
        <v>23</v>
      </c>
    </row>
    <row r="2" spans="1:3" ht="15" customHeight="1" x14ac:dyDescent="0.25">
      <c r="A2" s="17">
        <v>0</v>
      </c>
      <c r="B2" s="17">
        <v>1500</v>
      </c>
      <c r="C2" s="18">
        <v>69</v>
      </c>
    </row>
    <row r="3" spans="1:3" ht="15" customHeight="1" x14ac:dyDescent="0.25">
      <c r="A3" s="19">
        <v>70</v>
      </c>
      <c r="B3" s="19">
        <v>2280</v>
      </c>
      <c r="C3" s="20">
        <v>89</v>
      </c>
    </row>
    <row r="4" spans="1:3" ht="15" customHeight="1" x14ac:dyDescent="0.25">
      <c r="A4" s="17">
        <v>90</v>
      </c>
      <c r="B4" s="17">
        <v>2870</v>
      </c>
      <c r="C4" s="18">
        <v>109</v>
      </c>
    </row>
    <row r="5" spans="1:3" ht="15" customHeight="1" x14ac:dyDescent="0.25">
      <c r="A5" s="19">
        <v>110</v>
      </c>
      <c r="B5" s="19">
        <v>3260</v>
      </c>
      <c r="C5" s="20">
        <v>129</v>
      </c>
    </row>
    <row r="6" spans="1:3" ht="15" customHeight="1" x14ac:dyDescent="0.25">
      <c r="A6" s="17">
        <v>130</v>
      </c>
      <c r="B6" s="17">
        <v>3450</v>
      </c>
      <c r="C6" s="18">
        <v>149</v>
      </c>
    </row>
    <row r="7" spans="1:3" ht="15" customHeight="1" x14ac:dyDescent="0.25">
      <c r="A7" s="19">
        <v>150</v>
      </c>
      <c r="B7" s="19">
        <v>3810</v>
      </c>
      <c r="C7" s="20">
        <v>169</v>
      </c>
    </row>
    <row r="8" spans="1:3" ht="15" customHeight="1" x14ac:dyDescent="0.25">
      <c r="A8" s="17">
        <v>170</v>
      </c>
      <c r="B8" s="17">
        <v>4020</v>
      </c>
      <c r="C8" s="18">
        <v>189</v>
      </c>
    </row>
    <row r="9" spans="1:3" ht="15" customHeight="1" x14ac:dyDescent="0.25">
      <c r="A9" s="19">
        <v>190</v>
      </c>
      <c r="B9" s="19">
        <v>4260</v>
      </c>
      <c r="C9" s="20">
        <v>209</v>
      </c>
    </row>
    <row r="10" spans="1:3" ht="15" customHeight="1" x14ac:dyDescent="0.25">
      <c r="A10" s="17">
        <v>210</v>
      </c>
      <c r="B10" s="17">
        <v>4490</v>
      </c>
      <c r="C10" s="18">
        <v>229</v>
      </c>
    </row>
    <row r="11" spans="1:3" ht="15" customHeight="1" x14ac:dyDescent="0.25">
      <c r="A11" s="19">
        <v>230</v>
      </c>
      <c r="B11" s="19">
        <v>4860</v>
      </c>
      <c r="C11" s="20">
        <v>249</v>
      </c>
    </row>
    <row r="12" spans="1:3" ht="15" customHeight="1" x14ac:dyDescent="0.25">
      <c r="A12" s="17">
        <v>250</v>
      </c>
      <c r="B12" s="17">
        <v>5280</v>
      </c>
      <c r="C12" s="18">
        <v>269</v>
      </c>
    </row>
    <row r="13" spans="1:3" ht="15" customHeight="1" x14ac:dyDescent="0.25">
      <c r="A13" s="19">
        <v>270</v>
      </c>
      <c r="B13" s="19">
        <v>5690</v>
      </c>
      <c r="C13" s="20">
        <v>289</v>
      </c>
    </row>
    <row r="14" spans="1:3" ht="15" customHeight="1" x14ac:dyDescent="0.25">
      <c r="A14" s="17">
        <v>290</v>
      </c>
      <c r="B14" s="17">
        <v>6100</v>
      </c>
      <c r="C14" s="18">
        <v>309</v>
      </c>
    </row>
    <row r="15" spans="1:3" ht="15" customHeight="1" x14ac:dyDescent="0.25">
      <c r="A15" s="19">
        <v>310</v>
      </c>
      <c r="B15" s="19">
        <v>6520</v>
      </c>
      <c r="C15" s="20">
        <v>329</v>
      </c>
    </row>
    <row r="16" spans="1:3" ht="15" customHeight="1" x14ac:dyDescent="0.25">
      <c r="A16" s="17">
        <v>330</v>
      </c>
      <c r="B16" s="17">
        <v>6940</v>
      </c>
      <c r="C16" s="18">
        <v>349</v>
      </c>
    </row>
    <row r="17" spans="1:3" ht="15" customHeight="1" x14ac:dyDescent="0.25">
      <c r="A17" s="19">
        <v>350</v>
      </c>
      <c r="B17" s="19">
        <v>7370</v>
      </c>
      <c r="C17" s="20">
        <v>369</v>
      </c>
    </row>
    <row r="18" spans="1:3" ht="15" customHeight="1" x14ac:dyDescent="0.25">
      <c r="A18" s="17">
        <v>370</v>
      </c>
      <c r="B18" s="17">
        <v>7790</v>
      </c>
      <c r="C18" s="18">
        <v>389</v>
      </c>
    </row>
    <row r="19" spans="1:3" ht="15" customHeight="1" x14ac:dyDescent="0.25">
      <c r="A19" s="19">
        <v>390</v>
      </c>
      <c r="B19" s="19">
        <v>8200</v>
      </c>
      <c r="C19" s="20">
        <v>409</v>
      </c>
    </row>
    <row r="20" spans="1:3" ht="15" customHeight="1" x14ac:dyDescent="0.25">
      <c r="A20" s="17">
        <v>410</v>
      </c>
      <c r="B20" s="17">
        <v>8610</v>
      </c>
      <c r="C20" s="18">
        <v>429</v>
      </c>
    </row>
    <row r="21" spans="1:3" ht="15" customHeight="1" x14ac:dyDescent="0.25">
      <c r="A21" s="19">
        <v>430</v>
      </c>
      <c r="B21" s="19">
        <v>9020</v>
      </c>
      <c r="C21" s="20">
        <v>449</v>
      </c>
    </row>
    <row r="22" spans="1:3" ht="15" customHeight="1" x14ac:dyDescent="0.25">
      <c r="A22" s="17">
        <v>450</v>
      </c>
      <c r="B22" s="17">
        <v>9440</v>
      </c>
      <c r="C22" s="18">
        <v>469</v>
      </c>
    </row>
    <row r="23" spans="1:3" ht="15" customHeight="1" x14ac:dyDescent="0.25">
      <c r="A23" s="19">
        <v>470</v>
      </c>
      <c r="B23" s="19">
        <v>9860</v>
      </c>
      <c r="C23" s="20">
        <v>489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257a3a-902e-4cd6-835a-24a0a2cc3549">
      <Terms xmlns="http://schemas.microsoft.com/office/infopath/2007/PartnerControls"/>
    </lcf76f155ced4ddcb4097134ff3c332f>
    <TaxCatchAll xmlns="4be5c560-55dd-4976-9967-c4e49bee7f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E4665F0A1FE740A8B78A90E5340A22" ma:contentTypeVersion="13" ma:contentTypeDescription="Opprett et nytt dokument." ma:contentTypeScope="" ma:versionID="cded2416b003ac21d17fa3e056ec2352">
  <xsd:schema xmlns:xsd="http://www.w3.org/2001/XMLSchema" xmlns:xs="http://www.w3.org/2001/XMLSchema" xmlns:p="http://schemas.microsoft.com/office/2006/metadata/properties" xmlns:ns2="e7257a3a-902e-4cd6-835a-24a0a2cc3549" xmlns:ns3="4be5c560-55dd-4976-9967-c4e49bee7f5f" targetNamespace="http://schemas.microsoft.com/office/2006/metadata/properties" ma:root="true" ma:fieldsID="db2095e8c41739d325dff32159e2b4c3" ns2:_="" ns3:_="">
    <xsd:import namespace="e7257a3a-902e-4cd6-835a-24a0a2cc3549"/>
    <xsd:import namespace="4be5c560-55dd-4976-9967-c4e49bee7f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257a3a-902e-4cd6-835a-24a0a2cc3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emerkelapper" ma:readOnly="false" ma:fieldId="{5cf76f15-5ced-4ddc-b409-7134ff3c332f}" ma:taxonomyMulti="true" ma:sspId="c74fb7ff-ca36-450a-9370-0611a97158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e5c560-55dd-4976-9967-c4e49bee7f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Global taksonomikolonne" ma:hidden="true" ma:list="{4e09ab01-57fd-434d-aa0c-561bc184a0c3}" ma:internalName="TaxCatchAll" ma:showField="CatchAllData" ma:web="4be5c560-55dd-4976-9967-c4e49bee7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F0E4B2-2598-44A8-A1A1-DA86DBB2B736}">
  <ds:schemaRefs>
    <ds:schemaRef ds:uri="http://schemas.microsoft.com/office/2006/metadata/properties"/>
    <ds:schemaRef ds:uri="http://schemas.microsoft.com/office/infopath/2007/PartnerControls"/>
    <ds:schemaRef ds:uri="e7257a3a-902e-4cd6-835a-24a0a2cc3549"/>
    <ds:schemaRef ds:uri="4be5c560-55dd-4976-9967-c4e49bee7f5f"/>
  </ds:schemaRefs>
</ds:datastoreItem>
</file>

<file path=customXml/itemProps2.xml><?xml version="1.0" encoding="utf-8"?>
<ds:datastoreItem xmlns:ds="http://schemas.openxmlformats.org/officeDocument/2006/customXml" ds:itemID="{BF74AAB9-69EA-4E09-8F40-AA471EDC0D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178801-DF3B-40E5-9835-91AC01E432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257a3a-902e-4cd6-835a-24a0a2cc3549"/>
    <ds:schemaRef ds:uri="4be5c560-55dd-4976-9967-c4e49bee7f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Juni 2026</vt:lpstr>
      <vt:lpstr>CEG-tabell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Kundeservice We4you</cp:lastModifiedBy>
  <cp:revision>0</cp:revision>
  <dcterms:created xsi:type="dcterms:W3CDTF">2026-07-02T16:12:46Z</dcterms:created>
  <dcterms:modified xsi:type="dcterms:W3CDTF">2026-09-01T07:17:33Z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0x010100E7E4665F0A1FE740A8B78A90E5340A22</vt:lpwstr>
  </property>
  <property fmtid="{D5CDD505-2E9C-101B-9397-08002B2CF9AE}" pid="3" name="MediaServiceImageTags">
    <vt:lpwstr/>
  </property>
</Properties>
</file>