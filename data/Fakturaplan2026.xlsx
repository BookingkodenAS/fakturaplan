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e4youas.sharepoint.com/sites/We4you/Delte dokumenter/Internt Sharepoint/We4you/Finans/Fakturering/Fakturering Sentralbord/Fakturering 2026/"/>
    </mc:Choice>
  </mc:AlternateContent>
  <xr:revisionPtr revIDLastSave="1558" documentId="8_{B0354E43-DCE5-4306-B081-73CBF0CEF0EF}" xr6:coauthVersionLast="47" xr6:coauthVersionMax="47" xr10:uidLastSave="{545F2EA6-36A2-422E-85E0-6EC3BFF5CFCA}"/>
  <bookViews>
    <workbookView xWindow="6915" yWindow="3450" windowWidth="38700" windowHeight="15345" tabRatio="957" firstSheet="10" activeTab="11" xr2:uid="{D19ABE31-BC46-4868-947C-A81C55389E5F}"/>
  </bookViews>
  <sheets>
    <sheet name="Termintabell" sheetId="67" r:id="rId1"/>
    <sheet name="Felles" sheetId="126" r:id="rId2"/>
    <sheet name="ABC Hus" sheetId="170" r:id="rId3"/>
    <sheet name="AdvHenjum" sheetId="110" r:id="rId4"/>
    <sheet name="Adv Olga Halvorsen" sheetId="115" r:id="rId5"/>
    <sheet name="Adv Sandra" sheetId="118" r:id="rId6"/>
    <sheet name="Ahlberg data" sheetId="81" r:id="rId7"/>
    <sheet name="Alivia Sagt opp" sheetId="176" r:id="rId8"/>
    <sheet name="Allskog" sheetId="111" r:id="rId9"/>
    <sheet name="Meavia - Bekkestuapsyk" sheetId="160" r:id="rId10"/>
    <sheet name="Bodyfly" sheetId="120" r:id="rId11"/>
    <sheet name="Caverion" sheetId="171" r:id="rId12"/>
    <sheet name="Calpro" sheetId="51" r:id="rId13"/>
    <sheet name="Constuction Equipment Group" sheetId="187" r:id="rId14"/>
    <sheet name="Coromatic" sheetId="98" r:id="rId15"/>
    <sheet name="Dal Media" sheetId="168" r:id="rId16"/>
    <sheet name="Akkodis - Datarespons" sheetId="135" r:id="rId17"/>
    <sheet name="Dental Sør" sheetId="191" r:id="rId18"/>
    <sheet name="DomingoSagt opp" sheetId="182" r:id="rId19"/>
    <sheet name="EFAS" sheetId="174" r:id="rId20"/>
    <sheet name="Element" sheetId="140" r:id="rId21"/>
    <sheet name="Element Log Sweden" sheetId="145" r:id="rId22"/>
    <sheet name="ENRX" sheetId="177" r:id="rId23"/>
    <sheet name="Enova" sheetId="180" r:id="rId24"/>
    <sheet name="Festetrafikk" sheetId="178" r:id="rId25"/>
    <sheet name="FirstMovergroup-Totalreform" sheetId="146" r:id="rId26"/>
    <sheet name="Frano" sheetId="190" r:id="rId27"/>
    <sheet name="Foma" sheetId="158" r:id="rId28"/>
    <sheet name="Funksjonell" sheetId="179" r:id="rId29"/>
    <sheet name="Sagt opp Funkweb" sheetId="32" r:id="rId30"/>
    <sheet name="Fysiodirekte" sheetId="152" r:id="rId31"/>
    <sheet name="Gass-Pust" sheetId="19" r:id="rId32"/>
    <sheet name="Gulvfag" sheetId="142" r:id="rId33"/>
    <sheet name="Gunvaldsen" sheetId="154" r:id="rId34"/>
    <sheet name="IKT-Nor" sheetId="94" r:id="rId35"/>
    <sheet name="Invicta" sheetId="153" r:id="rId36"/>
    <sheet name="JCDec" sheetId="18" r:id="rId37"/>
    <sheet name="Kardex" sheetId="74" r:id="rId38"/>
    <sheet name="IKM KarstenM" sheetId="156" r:id="rId39"/>
    <sheet name="Klinikk ØNH" sheetId="173" r:id="rId40"/>
    <sheet name="Kontroll elektro" sheetId="4" r:id="rId41"/>
    <sheet name="KTV" sheetId="105" r:id="rId42"/>
    <sheet name="Nemus Vestfold" sheetId="188" r:id="rId43"/>
    <sheet name="Noah" sheetId="137" r:id="rId44"/>
    <sheet name="Norenco" sheetId="44" r:id="rId45"/>
    <sheet name="NorskMedisinskSyklotron" sheetId="87" r:id="rId46"/>
    <sheet name="Nyd" sheetId="15" r:id="rId47"/>
    <sheet name="PCVennen" sheetId="40" r:id="rId48"/>
    <sheet name="Philips" sheetId="59" r:id="rId49"/>
    <sheet name="Per Tverfjell Bilomsetning AS" sheetId="192" r:id="rId50"/>
    <sheet name="Positiv trafikkskole" sheetId="11" r:id="rId51"/>
    <sheet name="Promon" sheetId="164" r:id="rId52"/>
    <sheet name="Prevas" sheetId="129" r:id="rId53"/>
    <sheet name="Rambøll" sheetId="181" r:id="rId54"/>
    <sheet name="Safari" sheetId="161" r:id="rId55"/>
    <sheet name="SafeNTouchcom" sheetId="159" r:id="rId56"/>
    <sheet name="Senterforstress" sheetId="167" r:id="rId57"/>
    <sheet name="Spraying-syst" sheetId="42" r:id="rId58"/>
    <sheet name="Standard Norge" sheetId="148" r:id="rId59"/>
    <sheet name="TD Synnex" sheetId="26" r:id="rId60"/>
    <sheet name="Teva-Actavis" sheetId="36" r:id="rId61"/>
    <sheet name="Tropisk Design" sheetId="101" r:id="rId62"/>
    <sheet name="Ultralydklinikken" sheetId="150" r:id="rId63"/>
    <sheet name="Veidekke industri, Møre" sheetId="162" r:id="rId64"/>
    <sheet name="Veidekke Industri Sogn" sheetId="193" r:id="rId65"/>
    <sheet name="Vera tank" sheetId="184" r:id="rId66"/>
    <sheet name="Vika fys" sheetId="175" r:id="rId67"/>
    <sheet name="Zones" sheetId="100" r:id="rId68"/>
    <sheet name="2clean" sheetId="143" r:id="rId69"/>
  </sheets>
  <definedNames>
    <definedName name="_xlnm.Print_Area" localSheetId="27">Foma!$A$2:$H$34</definedName>
    <definedName name="_xlnm.Print_Area" localSheetId="31">'Gass-Pust'!$A$1:$I$39</definedName>
    <definedName name="_xlnm.Print_Area" localSheetId="29">'Sagt opp Funkweb'!$B$2:$H$40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48" l="1"/>
  <c r="J77" i="168"/>
  <c r="I49" i="44"/>
  <c r="C22" i="98" l="1"/>
  <c r="I77" i="168" l="1"/>
  <c r="H59" i="142"/>
  <c r="H49" i="44"/>
  <c r="I56" i="159"/>
  <c r="C49" i="148"/>
  <c r="G59" i="142" l="1"/>
  <c r="G49" i="44"/>
  <c r="F59" i="142"/>
  <c r="F49" i="44"/>
  <c r="F77" i="168"/>
  <c r="E59" i="142"/>
  <c r="D59" i="142"/>
  <c r="H34" i="193"/>
  <c r="C59" i="142"/>
  <c r="C49" i="44"/>
  <c r="D56" i="159"/>
  <c r="B59" i="142"/>
  <c r="H30" i="181"/>
  <c r="G22" i="192" l="1"/>
  <c r="G27" i="192" s="1"/>
  <c r="F6" i="192"/>
  <c r="C56" i="159"/>
  <c r="F47" i="159"/>
  <c r="E47" i="159"/>
  <c r="D47" i="159"/>
  <c r="C47" i="159"/>
  <c r="H41" i="159"/>
  <c r="G41" i="159"/>
  <c r="F41" i="159"/>
  <c r="E41" i="159"/>
  <c r="D41" i="159"/>
  <c r="C41" i="159"/>
  <c r="B49" i="44"/>
  <c r="H28" i="142"/>
  <c r="H77" i="168"/>
  <c r="G77" i="168"/>
  <c r="E77" i="168"/>
  <c r="D77" i="168"/>
  <c r="C77" i="168"/>
  <c r="I58" i="111"/>
  <c r="H58" i="111"/>
  <c r="G58" i="111"/>
  <c r="F58" i="111"/>
  <c r="E58" i="111"/>
  <c r="D58" i="111"/>
  <c r="C58" i="111"/>
  <c r="H26" i="148"/>
  <c r="H29" i="181"/>
  <c r="H32" i="181" s="1"/>
  <c r="L70" i="168" l="1"/>
  <c r="L52" i="142"/>
  <c r="I43" i="44"/>
  <c r="I21" i="191"/>
  <c r="H27" i="190"/>
  <c r="D27" i="190"/>
  <c r="I41" i="188"/>
  <c r="G23" i="187"/>
  <c r="G36" i="187" s="1"/>
  <c r="K70" i="168"/>
  <c r="H32" i="142"/>
  <c r="G52" i="142"/>
  <c r="H52" i="142"/>
  <c r="I52" i="142"/>
  <c r="J52" i="142"/>
  <c r="K52" i="142"/>
  <c r="H41" i="190" l="1"/>
  <c r="I36" i="191"/>
  <c r="H43" i="44"/>
  <c r="H44" i="148"/>
  <c r="I22" i="184"/>
  <c r="I37" i="184" l="1"/>
  <c r="J70" i="168" l="1"/>
  <c r="G43" i="44"/>
  <c r="G44" i="148"/>
  <c r="H52" i="111" l="1"/>
  <c r="G52" i="111"/>
  <c r="F52" i="111"/>
  <c r="E52" i="111"/>
  <c r="D52" i="111"/>
  <c r="C52" i="111"/>
  <c r="H45" i="111"/>
  <c r="I70" i="168"/>
  <c r="F43" i="44"/>
  <c r="F44" i="148"/>
  <c r="E44" i="148" l="1"/>
  <c r="E43" i="44"/>
  <c r="H70" i="168"/>
  <c r="G45" i="111"/>
  <c r="D44" i="148"/>
  <c r="C44" i="148"/>
  <c r="F97" i="159"/>
  <c r="D43" i="44"/>
  <c r="F48" i="142"/>
  <c r="F52" i="142" s="1"/>
  <c r="H26" i="182"/>
  <c r="H39" i="182" s="1"/>
  <c r="D26" i="182"/>
  <c r="G10" i="182"/>
  <c r="G70" i="168"/>
  <c r="E45" i="111" l="1"/>
  <c r="G10" i="181"/>
  <c r="E97" i="159" l="1"/>
  <c r="E48" i="142"/>
  <c r="F70" i="168"/>
  <c r="C43" i="44"/>
  <c r="H26" i="177" l="1"/>
  <c r="D45" i="111" l="1"/>
  <c r="C45" i="111"/>
  <c r="E70" i="168" l="1"/>
  <c r="D97" i="159"/>
  <c r="B43" i="44"/>
  <c r="C97" i="159"/>
  <c r="G37" i="44"/>
  <c r="C48" i="142"/>
  <c r="D70" i="168"/>
  <c r="H40" i="111"/>
  <c r="B48" i="142"/>
  <c r="C70" i="168"/>
  <c r="H91" i="159"/>
  <c r="F37" i="44"/>
  <c r="H32" i="180"/>
  <c r="H45" i="180" s="1"/>
  <c r="D32" i="180"/>
  <c r="G10" i="180"/>
  <c r="G40" i="111"/>
  <c r="H23" i="164"/>
  <c r="H29" i="164" s="1"/>
  <c r="H22" i="153"/>
  <c r="E37" i="44"/>
  <c r="F40" i="111"/>
  <c r="G63" i="168"/>
  <c r="G91" i="159"/>
  <c r="C37" i="44"/>
  <c r="F63" i="168"/>
  <c r="F91" i="159"/>
  <c r="B37" i="44"/>
  <c r="E63" i="168"/>
  <c r="E40" i="111"/>
  <c r="H27" i="179"/>
  <c r="H39" i="179" s="1"/>
  <c r="H26" i="179"/>
  <c r="D26" i="179"/>
  <c r="G10" i="179"/>
  <c r="H27" i="178"/>
  <c r="H28" i="178"/>
  <c r="H26" i="178"/>
  <c r="G10" i="178"/>
  <c r="D63" i="168"/>
  <c r="E91" i="159"/>
  <c r="H27" i="154"/>
  <c r="D40" i="111"/>
  <c r="C63" i="168"/>
  <c r="C40" i="111"/>
  <c r="H23" i="110"/>
  <c r="H39" i="110" s="1"/>
  <c r="D91" i="159"/>
  <c r="C91" i="159"/>
  <c r="H39" i="177"/>
  <c r="G10" i="177"/>
  <c r="H22" i="176"/>
  <c r="H31" i="176"/>
  <c r="D22" i="176"/>
  <c r="G6" i="176"/>
  <c r="H41" i="175"/>
  <c r="H29" i="175"/>
  <c r="H28" i="175"/>
  <c r="D28" i="175"/>
  <c r="H26" i="174"/>
  <c r="H39" i="174" s="1"/>
  <c r="G7" i="174"/>
  <c r="H22" i="173"/>
  <c r="H27" i="173" s="1"/>
  <c r="G6" i="173"/>
  <c r="H57" i="168"/>
  <c r="G57" i="168"/>
  <c r="F57" i="168"/>
  <c r="E57" i="168"/>
  <c r="D57" i="168"/>
  <c r="C57" i="168"/>
  <c r="H27" i="171"/>
  <c r="F51" i="168"/>
  <c r="G51" i="168"/>
  <c r="H51" i="168"/>
  <c r="E51" i="168"/>
  <c r="D51" i="168"/>
  <c r="C51" i="168"/>
  <c r="D45" i="168"/>
  <c r="E45" i="168"/>
  <c r="F45" i="168"/>
  <c r="G45" i="168"/>
  <c r="H45" i="168"/>
  <c r="C45" i="168"/>
  <c r="H26" i="168"/>
  <c r="H39" i="168" s="1"/>
  <c r="H24" i="168"/>
  <c r="D29" i="42"/>
  <c r="H27" i="81"/>
  <c r="H39" i="81" s="1"/>
  <c r="H27" i="44"/>
  <c r="H25" i="146"/>
  <c r="H24" i="170"/>
  <c r="F24" i="170"/>
  <c r="H27" i="59"/>
  <c r="G22" i="150"/>
  <c r="G31" i="150" s="1"/>
  <c r="H31" i="142"/>
  <c r="H22" i="15"/>
  <c r="H35" i="15"/>
  <c r="G10" i="143"/>
  <c r="D26" i="143"/>
  <c r="H26" i="143"/>
  <c r="H39" i="143" s="1"/>
  <c r="G6" i="100"/>
  <c r="D28" i="100"/>
  <c r="H28" i="100"/>
  <c r="H29" i="100"/>
  <c r="H31" i="100" s="1"/>
  <c r="G6" i="162"/>
  <c r="G7" i="175" s="1"/>
  <c r="H35" i="162"/>
  <c r="F6" i="150"/>
  <c r="C22" i="150"/>
  <c r="F6" i="101"/>
  <c r="C28" i="101"/>
  <c r="G28" i="101"/>
  <c r="G29" i="101"/>
  <c r="G10" i="36"/>
  <c r="H26" i="36"/>
  <c r="D27" i="36"/>
  <c r="H27" i="36"/>
  <c r="H38" i="36" s="1"/>
  <c r="G10" i="26"/>
  <c r="D26" i="26"/>
  <c r="H26" i="26"/>
  <c r="H39" i="26" s="1"/>
  <c r="G10" i="148"/>
  <c r="D26" i="148"/>
  <c r="H39" i="148"/>
  <c r="G10" i="42"/>
  <c r="H29" i="42"/>
  <c r="G10" i="167"/>
  <c r="D26" i="167"/>
  <c r="H26" i="167"/>
  <c r="H39" i="167"/>
  <c r="G6" i="159"/>
  <c r="H22" i="159"/>
  <c r="D23" i="159"/>
  <c r="H23" i="159"/>
  <c r="G6" i="161"/>
  <c r="H22" i="161"/>
  <c r="D23" i="161"/>
  <c r="H23" i="161"/>
  <c r="H35" i="161" s="1"/>
  <c r="G6" i="146"/>
  <c r="H23" i="146"/>
  <c r="H24" i="146"/>
  <c r="G6" i="164"/>
  <c r="D23" i="164"/>
  <c r="G10" i="129"/>
  <c r="H29" i="129"/>
  <c r="H30" i="129"/>
  <c r="H33" i="129" s="1"/>
  <c r="G6" i="11"/>
  <c r="H22" i="11"/>
  <c r="H23" i="11"/>
  <c r="G10" i="59"/>
  <c r="H26" i="59"/>
  <c r="G6" i="40"/>
  <c r="H22" i="40"/>
  <c r="H35" i="40"/>
  <c r="G6" i="87"/>
  <c r="H22" i="87"/>
  <c r="H35" i="87" s="1"/>
  <c r="G10" i="44"/>
  <c r="H26" i="44"/>
  <c r="G10" i="137"/>
  <c r="H26" i="137"/>
  <c r="H40" i="137"/>
  <c r="G6" i="105"/>
  <c r="H22" i="105"/>
  <c r="H35" i="105"/>
  <c r="G6" i="4"/>
  <c r="H25" i="4"/>
  <c r="H26" i="4"/>
  <c r="G6" i="156"/>
  <c r="D22" i="156"/>
  <c r="H22" i="156"/>
  <c r="H24" i="156"/>
  <c r="G6" i="74"/>
  <c r="H22" i="74"/>
  <c r="G6" i="18"/>
  <c r="D22" i="18"/>
  <c r="G6" i="153"/>
  <c r="D22" i="153"/>
  <c r="H23" i="153"/>
  <c r="G6" i="94"/>
  <c r="D25" i="94"/>
  <c r="H25" i="94"/>
  <c r="H26" i="94"/>
  <c r="G10" i="154"/>
  <c r="G10" i="142"/>
  <c r="G21" i="142"/>
  <c r="H29" i="142"/>
  <c r="H30" i="142"/>
  <c r="G6" i="19"/>
  <c r="D22" i="19"/>
  <c r="H22" i="19"/>
  <c r="H24" i="19"/>
  <c r="G11" i="152"/>
  <c r="D27" i="152"/>
  <c r="H27" i="152"/>
  <c r="D28" i="152"/>
  <c r="H28" i="152"/>
  <c r="G6" i="168"/>
  <c r="D22" i="168"/>
  <c r="G10" i="32"/>
  <c r="D26" i="32"/>
  <c r="H26" i="32"/>
  <c r="H27" i="32"/>
  <c r="G10" i="158"/>
  <c r="H26" i="158"/>
  <c r="H38" i="158"/>
  <c r="G10" i="145"/>
  <c r="H26" i="145"/>
  <c r="H39" i="145" s="1"/>
  <c r="G10" i="140"/>
  <c r="H26" i="140"/>
  <c r="H39" i="140" s="1"/>
  <c r="G10" i="135"/>
  <c r="H26" i="135"/>
  <c r="H39" i="135" s="1"/>
  <c r="F6" i="98"/>
  <c r="G10" i="51"/>
  <c r="D26" i="51"/>
  <c r="H26" i="51"/>
  <c r="H39" i="51" s="1"/>
  <c r="G10" i="171"/>
  <c r="C26" i="171"/>
  <c r="H26" i="171"/>
  <c r="G7" i="120"/>
  <c r="D23" i="120"/>
  <c r="H23" i="120"/>
  <c r="H24" i="120"/>
  <c r="H36" i="120"/>
  <c r="G6" i="160"/>
  <c r="H24" i="160"/>
  <c r="H25" i="160"/>
  <c r="H37" i="160" s="1"/>
  <c r="G10" i="111"/>
  <c r="G10" i="81"/>
  <c r="H26" i="81"/>
  <c r="G6" i="118"/>
  <c r="D22" i="118"/>
  <c r="H22" i="118"/>
  <c r="H39" i="118" s="1"/>
  <c r="G6" i="115"/>
  <c r="H22" i="115"/>
  <c r="H39" i="115"/>
  <c r="G6" i="110"/>
  <c r="H22" i="110"/>
  <c r="G6" i="170"/>
  <c r="D22" i="170"/>
  <c r="H22" i="170"/>
  <c r="H39" i="170"/>
  <c r="H26" i="154"/>
  <c r="H39" i="32"/>
  <c r="H35" i="153"/>
  <c r="H33" i="142" l="1"/>
  <c r="H45" i="142" s="1"/>
  <c r="G41" i="101"/>
  <c r="H35" i="11"/>
  <c r="H39" i="59"/>
  <c r="H29" i="44"/>
  <c r="H38" i="4"/>
  <c r="H38" i="94"/>
  <c r="H39" i="154"/>
  <c r="H39" i="19"/>
  <c r="H40" i="152"/>
  <c r="H35" i="146"/>
  <c r="H34" i="171"/>
  <c r="H48" i="42"/>
  <c r="H35" i="159"/>
  <c r="H39" i="178"/>
  <c r="H35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Geir Bodin</author>
  </authors>
  <commentList>
    <comment ref="F18" authorId="0" shapeId="0" xr:uid="{C5FEEA01-B3D5-4647-938D-C0F9C58D60E7}">
      <text>
        <r>
          <rPr>
            <b/>
            <sz val="9"/>
            <color indexed="81"/>
            <rFont val="Tahoma"/>
            <family val="2"/>
          </rPr>
          <t>Geir Bodin:</t>
        </r>
        <r>
          <rPr>
            <sz val="9"/>
            <color indexed="81"/>
            <rFont val="Tahoma"/>
            <family val="2"/>
          </rPr>
          <t xml:space="preserve">
Inkl 200 samtaler. Eventuelle overskytende faktures etterskuddsvis på neste kvartal kr 36 pr samtale.</t>
        </r>
      </text>
    </comment>
  </commentList>
</comments>
</file>

<file path=xl/sharedStrings.xml><?xml version="1.0" encoding="utf-8"?>
<sst xmlns="http://schemas.openxmlformats.org/spreadsheetml/2006/main" count="4017" uniqueCount="879">
  <si>
    <t>Kunde</t>
  </si>
  <si>
    <t xml:space="preserve"> </t>
  </si>
  <si>
    <t>Produkt</t>
  </si>
  <si>
    <t xml:space="preserve">Kunde nr </t>
  </si>
  <si>
    <t>mamut</t>
  </si>
  <si>
    <t>Fakt dato</t>
  </si>
  <si>
    <t>Termin</t>
  </si>
  <si>
    <t>Kunden referanse</t>
  </si>
  <si>
    <t>Navn</t>
  </si>
  <si>
    <t>Bestillingsnr/merknad:</t>
  </si>
  <si>
    <t>Dato:</t>
  </si>
  <si>
    <t>Kreditt tid (std. 10 dager)</t>
  </si>
  <si>
    <t>Antall</t>
  </si>
  <si>
    <t>Stk pris</t>
  </si>
  <si>
    <t>Pris x.mva</t>
  </si>
  <si>
    <t>Leveranse betegnelse</t>
  </si>
  <si>
    <t>Vår referanse:</t>
  </si>
  <si>
    <t>10 dager</t>
  </si>
  <si>
    <t>Kunde nr</t>
  </si>
  <si>
    <t>Saksbehandler:</t>
  </si>
  <si>
    <t>Kreditt tid (avvikende)</t>
  </si>
  <si>
    <t>Tekst på faktura:</t>
  </si>
  <si>
    <t>FAKTURAGRUNNLAG SVARTJENESTE</t>
  </si>
  <si>
    <t>Sum til fakturering kunde eks.mva</t>
  </si>
  <si>
    <t>_______ dager</t>
  </si>
  <si>
    <t>Tilleggsopplysning</t>
  </si>
  <si>
    <t>IBAN</t>
  </si>
  <si>
    <t>Swift</t>
  </si>
  <si>
    <t xml:space="preserve">NO49 2291 1519 147 </t>
  </si>
  <si>
    <t>Geir Bodin</t>
  </si>
  <si>
    <t>Geir</t>
  </si>
  <si>
    <t>juni</t>
  </si>
  <si>
    <t>juli</t>
  </si>
  <si>
    <t>aug</t>
  </si>
  <si>
    <t>okt</t>
  </si>
  <si>
    <t>nov</t>
  </si>
  <si>
    <t>des</t>
  </si>
  <si>
    <t>Tabell</t>
  </si>
  <si>
    <t>SPTRNO22</t>
  </si>
  <si>
    <t>Netto 10 dager</t>
  </si>
  <si>
    <t>Kontroll elektro</t>
  </si>
  <si>
    <t>Øivind krog Nilsen</t>
  </si>
  <si>
    <t>Espen</t>
  </si>
  <si>
    <t>Espen Larsen</t>
  </si>
  <si>
    <t>Dag William Wroldsen</t>
  </si>
  <si>
    <t>Netto 30 dager</t>
  </si>
  <si>
    <t>ny</t>
  </si>
  <si>
    <t>NYD</t>
  </si>
  <si>
    <t>JCDecaux Norge AS</t>
  </si>
  <si>
    <t>Sentralbordtjeneste inkl. 20 anrop</t>
  </si>
  <si>
    <t>0-149</t>
  </si>
  <si>
    <t>150-199</t>
  </si>
  <si>
    <t>200-249</t>
  </si>
  <si>
    <t>250-299</t>
  </si>
  <si>
    <t xml:space="preserve">Sentralbordtjeneste </t>
  </si>
  <si>
    <t>300-349</t>
  </si>
  <si>
    <t>350-399</t>
  </si>
  <si>
    <t>400-449</t>
  </si>
  <si>
    <t>450-499</t>
  </si>
  <si>
    <t>500-549</t>
  </si>
  <si>
    <t>550-599</t>
  </si>
  <si>
    <t>Anrop &gt; 20</t>
  </si>
  <si>
    <t>Postboks 409</t>
  </si>
  <si>
    <t>0214 Oslo</t>
  </si>
  <si>
    <t>PC Vennen</t>
  </si>
  <si>
    <t>Harald Brevig</t>
  </si>
  <si>
    <t>Norenco Norge AS</t>
  </si>
  <si>
    <t>Tegleverksveien 99</t>
  </si>
  <si>
    <t>3057 Solbergelva</t>
  </si>
  <si>
    <t>Arne Haukland</t>
  </si>
  <si>
    <t>sep</t>
  </si>
  <si>
    <t>jan</t>
  </si>
  <si>
    <t>feb</t>
  </si>
  <si>
    <t>NY</t>
  </si>
  <si>
    <t>Ny</t>
  </si>
  <si>
    <t>mar</t>
  </si>
  <si>
    <t>apr</t>
  </si>
  <si>
    <t>mai</t>
  </si>
  <si>
    <t>Philips</t>
  </si>
  <si>
    <t>Egen tabell</t>
  </si>
  <si>
    <t>Netto 60 dager</t>
  </si>
  <si>
    <t xml:space="preserve">Jan </t>
  </si>
  <si>
    <t>jun</t>
  </si>
  <si>
    <t>jul</t>
  </si>
  <si>
    <t>Sentralbord fast</t>
  </si>
  <si>
    <t>20'de</t>
  </si>
  <si>
    <t>x</t>
  </si>
  <si>
    <t>Sentralbordtjeneste</t>
  </si>
  <si>
    <t>Tabellkunde</t>
  </si>
  <si>
    <t>Prøve periode 1 måned: 2000</t>
  </si>
  <si>
    <t xml:space="preserve">Periode: </t>
  </si>
  <si>
    <t>Etablert</t>
  </si>
  <si>
    <t>Positiv Trafikkskole</t>
  </si>
  <si>
    <t>måned</t>
  </si>
  <si>
    <t>Variabel</t>
  </si>
  <si>
    <t>pr anrop</t>
  </si>
  <si>
    <t>Grunnpris</t>
  </si>
  <si>
    <t>Øyvind Belsten</t>
  </si>
  <si>
    <t>Avtale oppstart: juli/2011</t>
  </si>
  <si>
    <t>Anrop</t>
  </si>
  <si>
    <t>NB 3 måneders oppsigelse</t>
  </si>
  <si>
    <t>Endret des 2011 fra Spraying system Norge</t>
  </si>
  <si>
    <t>til Spraying System Sverige AB</t>
  </si>
  <si>
    <t>Spraying System Sverige AB</t>
  </si>
  <si>
    <t>Niklas Sandin</t>
  </si>
  <si>
    <t>NB! Utenlandstrafikk ikke fakturert for des</t>
  </si>
  <si>
    <t>HUSk Land ved fakturering</t>
  </si>
  <si>
    <t>Calpro AS</t>
  </si>
  <si>
    <t>Oppstart: 12.12.2011</t>
  </si>
  <si>
    <t>Oppstart</t>
  </si>
  <si>
    <t>Kardex Norge AS</t>
  </si>
  <si>
    <t>Etablert: 1 mars 2012</t>
  </si>
  <si>
    <t>Gass og Pusteservice AS</t>
  </si>
  <si>
    <t>Michael Hansson</t>
  </si>
  <si>
    <t>Bruke Epost ved fakturering fra November</t>
  </si>
  <si>
    <t>Oppstart:</t>
  </si>
  <si>
    <t>Sentralbordtjeneste tabell</t>
  </si>
  <si>
    <t>Tall kunde</t>
  </si>
  <si>
    <t>Svartjeneste inkl. 20 samtaler</t>
  </si>
  <si>
    <t>Etablert juli 2013</t>
  </si>
  <si>
    <t>IKT Nor</t>
  </si>
  <si>
    <t>OBS Ny referanse</t>
  </si>
  <si>
    <t>Anrop&gt; 20</t>
  </si>
  <si>
    <t>Oppstart: Test november, rullet vider desember</t>
  </si>
  <si>
    <t>Første faktura, kjør hele desember</t>
  </si>
  <si>
    <t>Coromatic</t>
  </si>
  <si>
    <t>Bedriftssvar</t>
  </si>
  <si>
    <t>NB! Huske ny adresse, Postboks 777, Kolbotn</t>
  </si>
  <si>
    <t>Alternativt epost: faktura@coromatic.no</t>
  </si>
  <si>
    <t>Ove Sagen-Hafstad</t>
  </si>
  <si>
    <t>Tropisk Design</t>
  </si>
  <si>
    <t>Etablert April 2014</t>
  </si>
  <si>
    <t>640/32</t>
  </si>
  <si>
    <t>Anrop &gt;20</t>
  </si>
  <si>
    <t>Helene M. Gaustad</t>
  </si>
  <si>
    <t>Etablert: juni 2014</t>
  </si>
  <si>
    <t>Kennet Nilsen</t>
  </si>
  <si>
    <t>NB! Alle salgstelefoner skal trekkes fra</t>
  </si>
  <si>
    <t>KTV Group AS</t>
  </si>
  <si>
    <t>Funkweb Kompetanse</t>
  </si>
  <si>
    <t>Trondheimsveien 184</t>
  </si>
  <si>
    <t>0570 Oslo</t>
  </si>
  <si>
    <t>Endret fra Funkweb Aktiv den 27.08.2014</t>
  </si>
  <si>
    <t>Tabell kunde 0-99</t>
  </si>
  <si>
    <t xml:space="preserve">Antall salgstelefoner: </t>
  </si>
  <si>
    <t>NB! Bestillingnummer: 35 - egen opplasting faktura</t>
  </si>
  <si>
    <t>NB Nofuel</t>
  </si>
  <si>
    <t>Adv. Henjum</t>
  </si>
  <si>
    <t xml:space="preserve">Etablert: </t>
  </si>
  <si>
    <t>Sept 2014</t>
  </si>
  <si>
    <t>Avtale:</t>
  </si>
  <si>
    <t>Zones</t>
  </si>
  <si>
    <t>Back up løsning</t>
  </si>
  <si>
    <t>Fast pr.måned</t>
  </si>
  <si>
    <t>Kjetil Torsvik</t>
  </si>
  <si>
    <t>Fast 560/20</t>
  </si>
  <si>
    <t>Allskog</t>
  </si>
  <si>
    <t>Etablert: desember 2014</t>
  </si>
  <si>
    <t>Advokat Olga Halvorsen</t>
  </si>
  <si>
    <t xml:space="preserve"> Jan 2015</t>
  </si>
  <si>
    <t>tabell 0-99</t>
  </si>
  <si>
    <t>660/33</t>
  </si>
  <si>
    <t>anrop &gt; 20</t>
  </si>
  <si>
    <t>Svartjeneste</t>
  </si>
  <si>
    <t>Advokat Sandra Latotinaite</t>
  </si>
  <si>
    <t xml:space="preserve"> Feb 2015</t>
  </si>
  <si>
    <t>NY adresse fra 03/2015: tdinvoices@techdata.no m/avsender + faktura nummer</t>
  </si>
  <si>
    <t>Adresse er rettet til svenskeadressen</t>
  </si>
  <si>
    <t xml:space="preserve">Svartjeneste </t>
  </si>
  <si>
    <t>Bodyfly Frogner</t>
  </si>
  <si>
    <t>Avtale oppstart: april/2015</t>
  </si>
  <si>
    <t>Sentralbord</t>
  </si>
  <si>
    <t>Endret til tabell 0-99</t>
  </si>
  <si>
    <t>Sentralbordtjeneste  inkl. 20</t>
  </si>
  <si>
    <t>fast 580/29 for 2015</t>
  </si>
  <si>
    <t>Tabell 0-99</t>
  </si>
  <si>
    <t>NB bruk epost : faktura@gpsas.no</t>
  </si>
  <si>
    <t>NB Efaktura + statistikk på epost</t>
  </si>
  <si>
    <t>Dato</t>
  </si>
  <si>
    <t>Måned</t>
  </si>
  <si>
    <t xml:space="preserve">Grunnpris </t>
  </si>
  <si>
    <t>Rosa Karlsen</t>
  </si>
  <si>
    <t>Månedsstatistikk</t>
  </si>
  <si>
    <t>KTV</t>
  </si>
  <si>
    <t>Salgstelefoner</t>
  </si>
  <si>
    <t>EHF</t>
  </si>
  <si>
    <t>01/2016</t>
  </si>
  <si>
    <t>Huske epost på faktura</t>
  </si>
  <si>
    <t>invoice.preno@prevas.no</t>
  </si>
  <si>
    <t xml:space="preserve">Etablert </t>
  </si>
  <si>
    <t>680/34</t>
  </si>
  <si>
    <t>Totalt</t>
  </si>
  <si>
    <t>Prevas</t>
  </si>
  <si>
    <t>Sept 2016</t>
  </si>
  <si>
    <t>NOAH</t>
  </si>
  <si>
    <t>0-99</t>
  </si>
  <si>
    <t>Ny: des/2016</t>
  </si>
  <si>
    <t>Tabell: 0-99</t>
  </si>
  <si>
    <t>Gulvfag Norge AS</t>
  </si>
  <si>
    <t>Oppstart sep 2016</t>
  </si>
  <si>
    <t>Abnm Nye Gulv Norge</t>
  </si>
  <si>
    <t>Abnm Adler Parkettsliperi</t>
  </si>
  <si>
    <t>Liv Almenningen</t>
  </si>
  <si>
    <t>Karin Bråthen</t>
  </si>
  <si>
    <t>2Clean AS</t>
  </si>
  <si>
    <t xml:space="preserve">Sentralbord  </t>
  </si>
  <si>
    <t>Etablert:</t>
  </si>
  <si>
    <t>Lars h. Dahl</t>
  </si>
  <si>
    <t>Rikke Aas</t>
  </si>
  <si>
    <t>Fakturer forskudd kvartal (jan/apr/jul/okt)</t>
  </si>
  <si>
    <t>Avregning volum kvartal</t>
  </si>
  <si>
    <t>Antall anrop</t>
  </si>
  <si>
    <t>700/35</t>
  </si>
  <si>
    <t>620/31</t>
  </si>
  <si>
    <t>620/20-31</t>
  </si>
  <si>
    <t>640/20-32</t>
  </si>
  <si>
    <t>Jan</t>
  </si>
  <si>
    <t>600/20-30,-</t>
  </si>
  <si>
    <t>620/20-31,-</t>
  </si>
  <si>
    <t>Element Logic Sweden</t>
  </si>
  <si>
    <t>Ny: mars 2017</t>
  </si>
  <si>
    <t>Fakturer forskudd kvartal (mars-mai, juni-aug osv)</t>
  </si>
  <si>
    <t>Første gang 30 mars for mars, april, mai, deretter</t>
  </si>
  <si>
    <t xml:space="preserve">Fakturer: </t>
  </si>
  <si>
    <t>Statistikk til:</t>
  </si>
  <si>
    <t>kvartal</t>
  </si>
  <si>
    <t>X MVA</t>
  </si>
  <si>
    <t>Faktureres EHF</t>
  </si>
  <si>
    <t>Prosjekt 9530</t>
  </si>
  <si>
    <t>Fredrik Wessel</t>
  </si>
  <si>
    <t>Fakturer Epost</t>
  </si>
  <si>
    <t>Standard Norge AS</t>
  </si>
  <si>
    <t>feb 2017</t>
  </si>
  <si>
    <t>(Moneyback )</t>
  </si>
  <si>
    <t>Norsk Medisinsk Syklotronsenter</t>
  </si>
  <si>
    <t>Ny mai/juni 2017</t>
  </si>
  <si>
    <t>Norsk yrkesdykkerskole</t>
  </si>
  <si>
    <t>10% rabatt fra 1 juli 2017</t>
  </si>
  <si>
    <t>Element Logic AS</t>
  </si>
  <si>
    <t>NB!</t>
  </si>
  <si>
    <t>Faktura i EHF</t>
  </si>
  <si>
    <t>Per Thrane-Nielsen</t>
  </si>
  <si>
    <t>Element Logic Norge</t>
  </si>
  <si>
    <t>Element Logic Sverige</t>
  </si>
  <si>
    <t>1'ste</t>
  </si>
  <si>
    <t>720/36</t>
  </si>
  <si>
    <t>660/20-33</t>
  </si>
  <si>
    <t>Endre til 0-99 fra 2018</t>
  </si>
  <si>
    <t>Pris står i 2017/nye priser 2018</t>
  </si>
  <si>
    <t>Tillegg ordre</t>
  </si>
  <si>
    <t>Fakturaplan terminfakturering - Aktive</t>
  </si>
  <si>
    <t>Ultralydklinikken</t>
  </si>
  <si>
    <t>dag.hovind@gmail.com</t>
  </si>
  <si>
    <t>Kontrakt: juli 2017</t>
  </si>
  <si>
    <t>Dag Harald Hovind</t>
  </si>
  <si>
    <t>Fysiodirekte</t>
  </si>
  <si>
    <t>Magnhild Faleide Fristad</t>
  </si>
  <si>
    <t>Ny tabell kunde ok 2017</t>
  </si>
  <si>
    <t>Avsluttet</t>
  </si>
  <si>
    <t>Av og på kunde</t>
  </si>
  <si>
    <t>Anrop &gt; 40</t>
  </si>
  <si>
    <t>Invicta</t>
  </si>
  <si>
    <t>Etablert: MrMobile kunde/juli 2017</t>
  </si>
  <si>
    <t>Tabell: 1990/100 anrop</t>
  </si>
  <si>
    <t>Kevin Hughes</t>
  </si>
  <si>
    <t>Gunvaldsen og sønn</t>
  </si>
  <si>
    <t>Svartjeneste inkl. 40 anrop</t>
  </si>
  <si>
    <t>Etablert: Mrmobile /juli 2017</t>
  </si>
  <si>
    <t>Fra Mars 2018, veksle mellom 760/20 og tabell</t>
  </si>
  <si>
    <t>Tilleggsopplysninger ved fakturering:</t>
  </si>
  <si>
    <t>Etablert: mars 2018</t>
  </si>
  <si>
    <t>Beate A.Eide</t>
  </si>
  <si>
    <r>
      <rPr>
        <b/>
        <sz val="10"/>
        <rFont val="Arial"/>
        <family val="2"/>
      </rPr>
      <t>30</t>
    </r>
    <r>
      <rPr>
        <sz val="10"/>
        <rFont val="Arial"/>
        <family val="2"/>
      </rPr>
      <t xml:space="preserve"> dager</t>
    </r>
  </si>
  <si>
    <t>Etablert: april 2018</t>
  </si>
  <si>
    <t>Foma Norge AS</t>
  </si>
  <si>
    <t>Etablert: 30 april 2017</t>
  </si>
  <si>
    <t>Safenordic</t>
  </si>
  <si>
    <t>Pål Rune Gerhardsen</t>
  </si>
  <si>
    <t>NB: tillegg for fakturaspørsmål og selvbetj.løsn</t>
  </si>
  <si>
    <t>Nummer og teknisk løsning</t>
  </si>
  <si>
    <t>Etablert juli 2018</t>
  </si>
  <si>
    <t xml:space="preserve">Grunnpris: </t>
  </si>
  <si>
    <t>36 pr anrop</t>
  </si>
  <si>
    <t>Besvarte anrop</t>
  </si>
  <si>
    <t>Elisabeth  Gislerud</t>
  </si>
  <si>
    <t>Sigbjørn Furmyr</t>
  </si>
  <si>
    <t>Etablert: juli 2018</t>
  </si>
  <si>
    <t>Grunnpris: 199</t>
  </si>
  <si>
    <t>Safari Planter</t>
  </si>
  <si>
    <t>Ekstra tilknytning</t>
  </si>
  <si>
    <t>Egen prisliste (endret oktober 2018)</t>
  </si>
  <si>
    <t>1380,- (inntil 49 anrop)</t>
  </si>
  <si>
    <t>Anrop &gt; 49</t>
  </si>
  <si>
    <t>Veidekke industri AS - 6152</t>
  </si>
  <si>
    <t>Statistikk til: gry.helseth.hansen@veidekke.no</t>
  </si>
  <si>
    <t>Etablert: juli 2017</t>
  </si>
  <si>
    <t>Anlegg 30236</t>
  </si>
  <si>
    <t>Tabell : 0-99</t>
  </si>
  <si>
    <t>Gry Helseth Hansen</t>
  </si>
  <si>
    <t>Sentralbordtjeneste &gt; 200</t>
  </si>
  <si>
    <t>Egen avtale &gt; 200 anrop 2460</t>
  </si>
  <si>
    <t>Deretter 15 pr anrop</t>
  </si>
  <si>
    <t>Touchecom</t>
  </si>
  <si>
    <t>Referanse: Jannicke Klemp</t>
  </si>
  <si>
    <t>Jannicke Klemp</t>
  </si>
  <si>
    <t>Endret til 0-99 fra jan 2019</t>
  </si>
  <si>
    <t>740/37</t>
  </si>
  <si>
    <t>680/20-34</t>
  </si>
  <si>
    <t xml:space="preserve"> invoice.norway@tevaeu.com</t>
  </si>
  <si>
    <t>Swift:</t>
  </si>
  <si>
    <t>IBAN:</t>
  </si>
  <si>
    <t>Tone Sørensen</t>
  </si>
  <si>
    <t>Anite Heen</t>
  </si>
  <si>
    <t>Apr</t>
  </si>
  <si>
    <t>Mai</t>
  </si>
  <si>
    <t>Promon</t>
  </si>
  <si>
    <t>Oppstart: april/mai 2019</t>
  </si>
  <si>
    <t>faktura@promon.no</t>
  </si>
  <si>
    <t>100-149</t>
  </si>
  <si>
    <t>Leveres også av Safe4</t>
  </si>
  <si>
    <t>Folker den Braber</t>
  </si>
  <si>
    <t>Resten av tabell - se kontrakt</t>
  </si>
  <si>
    <t>Senter for stress og Traumespykologi</t>
  </si>
  <si>
    <t>Rune Stuvland</t>
  </si>
  <si>
    <t>Faktura: EHF</t>
  </si>
  <si>
    <t>Statistikk:</t>
  </si>
  <si>
    <t>regnskap@safenordic.no</t>
  </si>
  <si>
    <t>sept</t>
  </si>
  <si>
    <t>Svartjeneste  inkl. 20 anrop</t>
  </si>
  <si>
    <t>Aug</t>
  </si>
  <si>
    <t>Thomas Dalby</t>
  </si>
  <si>
    <t>Faktura:</t>
  </si>
  <si>
    <t>PDF m/statistikk</t>
  </si>
  <si>
    <t>Anrop &gt; 200</t>
  </si>
  <si>
    <t>Avd.200</t>
  </si>
  <si>
    <t>ABC Hus</t>
  </si>
  <si>
    <t>Fast fra jan 2020</t>
  </si>
  <si>
    <t>Tidligere av og på kunde</t>
  </si>
  <si>
    <t>Anelia Buitelaar</t>
  </si>
  <si>
    <t>allskog</t>
  </si>
  <si>
    <t>Allskog tilbake</t>
  </si>
  <si>
    <t>EHF - referanse</t>
  </si>
  <si>
    <t>Økning 2020 (3%)</t>
  </si>
  <si>
    <t>37 pr anrop</t>
  </si>
  <si>
    <t>1420 (inntil 49 anrop)</t>
  </si>
  <si>
    <t>Fra 2020, veksle mellom 780/38 og tabell</t>
  </si>
  <si>
    <t>760/38</t>
  </si>
  <si>
    <t>Tabell  NB!2019 priser i 2020</t>
  </si>
  <si>
    <t>Feb</t>
  </si>
  <si>
    <t>Ny prismodell fra april 2020</t>
  </si>
  <si>
    <t>Anrop &gt; 499</t>
  </si>
  <si>
    <t>Egen avtale april</t>
  </si>
  <si>
    <t>G.Skallerud</t>
  </si>
  <si>
    <t>Caverion Norge AS</t>
  </si>
  <si>
    <t>Oppstart: Mai 2020</t>
  </si>
  <si>
    <r>
      <t xml:space="preserve">Netto </t>
    </r>
    <r>
      <rPr>
        <b/>
        <sz val="10"/>
        <rFont val="Arial"/>
        <family val="2"/>
      </rPr>
      <t>60</t>
    </r>
    <r>
      <rPr>
        <sz val="10"/>
        <rFont val="Arial"/>
        <family val="2"/>
      </rPr>
      <t xml:space="preserve"> dager</t>
    </r>
  </si>
  <si>
    <t>Linda Hertaas</t>
  </si>
  <si>
    <t>Anrop &gt; 599</t>
  </si>
  <si>
    <t>august</t>
  </si>
  <si>
    <t>september</t>
  </si>
  <si>
    <t>oktober</t>
  </si>
  <si>
    <t>Fra oktober 2020</t>
  </si>
  <si>
    <t>Utvidet åpningstid</t>
  </si>
  <si>
    <t>NB! Betaling pr anrop fra desember 2020</t>
  </si>
  <si>
    <t>Husk statistikk fra året før</t>
  </si>
  <si>
    <t>Sentralbortjeneste fast</t>
  </si>
  <si>
    <t>,</t>
  </si>
  <si>
    <t>Mar</t>
  </si>
  <si>
    <t>Mads Esbersen</t>
  </si>
  <si>
    <t>Avtalen gir rett til korrigering etter konsumprisindeksen fra 01.01.2021</t>
  </si>
  <si>
    <t>KTI tjenester: 2,3</t>
  </si>
  <si>
    <t xml:space="preserve">Fastprise endres: </t>
  </si>
  <si>
    <t xml:space="preserve">Fra </t>
  </si>
  <si>
    <t xml:space="preserve">Til </t>
  </si>
  <si>
    <t>Nb! Endres først i 2022</t>
  </si>
  <si>
    <t>700/20-35</t>
  </si>
  <si>
    <t>720/20-36</t>
  </si>
  <si>
    <t>Inkl Adexon</t>
  </si>
  <si>
    <t>Sentralbordtjeneste/back up</t>
  </si>
  <si>
    <t>inkl. 20 samtaler</t>
  </si>
  <si>
    <t>Juni</t>
  </si>
  <si>
    <t>First Mover Group</t>
  </si>
  <si>
    <t>Samtaler &gt; 20</t>
  </si>
  <si>
    <t>740/20-37</t>
  </si>
  <si>
    <t>2022: 2540,-</t>
  </si>
  <si>
    <t>Office 365</t>
  </si>
  <si>
    <t>780/39</t>
  </si>
  <si>
    <t>800/40</t>
  </si>
  <si>
    <t>FMG</t>
  </si>
  <si>
    <t>Mars</t>
  </si>
  <si>
    <t>April</t>
  </si>
  <si>
    <t>Juli</t>
  </si>
  <si>
    <t>Tillegg Linje</t>
  </si>
  <si>
    <t>Norenco</t>
  </si>
  <si>
    <t>Mekan</t>
  </si>
  <si>
    <t>Jun</t>
  </si>
  <si>
    <t>PC Vennen (Ahlberg data)</t>
  </si>
  <si>
    <t>Oppstart: aug 2022</t>
  </si>
  <si>
    <t>Egen prismodell</t>
  </si>
  <si>
    <t>Anrop over 99</t>
  </si>
  <si>
    <t>Ny epost adresse fra 1 nov 2022</t>
  </si>
  <si>
    <t>TD Synnex</t>
  </si>
  <si>
    <t>760/20-38</t>
  </si>
  <si>
    <t>820/41</t>
  </si>
  <si>
    <t>Tillegg TD Caravan og service</t>
  </si>
  <si>
    <t>DMG</t>
  </si>
  <si>
    <t>TDC</t>
  </si>
  <si>
    <t>Abnm Hytteguttene</t>
  </si>
  <si>
    <t>Morten Oanes</t>
  </si>
  <si>
    <t>mars</t>
  </si>
  <si>
    <t>Meavia AS/Bekkestua psykologen</t>
  </si>
  <si>
    <t>Tillegg Saltando</t>
  </si>
  <si>
    <t>Grunnpris 1 tilknytninger</t>
  </si>
  <si>
    <t>Saltando</t>
  </si>
  <si>
    <t>EPOST fra juni 2023</t>
  </si>
  <si>
    <t>januar</t>
  </si>
  <si>
    <t>780/20-39</t>
  </si>
  <si>
    <t>840/42</t>
  </si>
  <si>
    <t>Februar</t>
  </si>
  <si>
    <t>juni 2024 siste mnd</t>
  </si>
  <si>
    <t>Klinikk Øre Nese Harls</t>
  </si>
  <si>
    <t>EFAS</t>
  </si>
  <si>
    <t>Eurofusion AS</t>
  </si>
  <si>
    <t>Matz Sandberg</t>
  </si>
  <si>
    <t>Egen modell</t>
  </si>
  <si>
    <t>Fast; 199,-abo pr mnd</t>
  </si>
  <si>
    <t>Volum</t>
  </si>
  <si>
    <t>0-30</t>
  </si>
  <si>
    <t>31-40</t>
  </si>
  <si>
    <t>41-50</t>
  </si>
  <si>
    <t>51-60</t>
  </si>
  <si>
    <t>61-70</t>
  </si>
  <si>
    <t>71-80</t>
  </si>
  <si>
    <t>81-100 (?)</t>
  </si>
  <si>
    <t>Vikar Fysikalske inst.</t>
  </si>
  <si>
    <t>Epost:pdf</t>
  </si>
  <si>
    <t>Rapporter</t>
  </si>
  <si>
    <t xml:space="preserve"> Fast</t>
  </si>
  <si>
    <t>?</t>
  </si>
  <si>
    <t>Antall samtaler</t>
  </si>
  <si>
    <t>Anne Kari Abelsen Nicke</t>
  </si>
  <si>
    <t>Alivia Insurance AB</t>
  </si>
  <si>
    <t>Jonathan Furst</t>
  </si>
  <si>
    <t>Ny kunde: mars 2023</t>
  </si>
  <si>
    <t>Back up tjeneste/sikkerhet</t>
  </si>
  <si>
    <t>Egent tabell</t>
  </si>
  <si>
    <t>Sentralbord/HR</t>
  </si>
  <si>
    <t>ENRX AS</t>
  </si>
  <si>
    <t>Org nr 930 400 580</t>
  </si>
  <si>
    <t>IKM Karsten Moholt AS</t>
  </si>
  <si>
    <t>880/44</t>
  </si>
  <si>
    <t>Tabell fra juli 2015 til juni 2024</t>
  </si>
  <si>
    <t>fra juli 2024</t>
  </si>
  <si>
    <t>Anrop over 20</t>
  </si>
  <si>
    <t>Merkes: AE 10395357</t>
  </si>
  <si>
    <t>Teva AS</t>
  </si>
  <si>
    <t>Feste trafikkskole AS</t>
  </si>
  <si>
    <t>Org nr 919 470 356</t>
  </si>
  <si>
    <t>Beathe Andersen</t>
  </si>
  <si>
    <t>2024-9</t>
  </si>
  <si>
    <t>Ved bruk av oss</t>
  </si>
  <si>
    <t>Svartjeneste dag</t>
  </si>
  <si>
    <t>alt. Svartjeneste uke</t>
  </si>
  <si>
    <t>Rapport ukentlig</t>
  </si>
  <si>
    <t>Funksjonellmedisinsk Klinikk AS</t>
  </si>
  <si>
    <t>Org nr 922183953</t>
  </si>
  <si>
    <t>Fastpris mnd: 840</t>
  </si>
  <si>
    <t>Inkl. 20:</t>
  </si>
  <si>
    <t>Pr anrop over</t>
  </si>
  <si>
    <t>Svartjeneneste inkl. 20</t>
  </si>
  <si>
    <t>Pr anop over 20</t>
  </si>
  <si>
    <t>Anders Folven</t>
  </si>
  <si>
    <t>Dal Media (tidl.FX Norge og DMG)</t>
  </si>
  <si>
    <t>Dal media</t>
  </si>
  <si>
    <t>Statistikk</t>
  </si>
  <si>
    <t>Besv.anrop</t>
  </si>
  <si>
    <t>16,-</t>
  </si>
  <si>
    <t>14,-</t>
  </si>
  <si>
    <t>15,-</t>
  </si>
  <si>
    <t>16.-</t>
  </si>
  <si>
    <t>Caverion pristabell</t>
  </si>
  <si>
    <t>-indeksregulert</t>
  </si>
  <si>
    <t>Sentralbordtjeneste kvartalsfaktura</t>
  </si>
  <si>
    <t>uten statistikk</t>
  </si>
  <si>
    <t>20.11.xx</t>
  </si>
  <si>
    <t>20.05.xx</t>
  </si>
  <si>
    <t>20.02.xx</t>
  </si>
  <si>
    <t>20.08.xx</t>
  </si>
  <si>
    <t>Garda</t>
  </si>
  <si>
    <t>Geir sender</t>
  </si>
  <si>
    <t>NHO</t>
  </si>
  <si>
    <t>Ny modell fra 18 november 2024</t>
  </si>
  <si>
    <t>Fast</t>
  </si>
  <si>
    <t>399,- år måned</t>
  </si>
  <si>
    <t>Pr besvart anrop</t>
  </si>
  <si>
    <t>40,-</t>
  </si>
  <si>
    <t>Rapport?</t>
  </si>
  <si>
    <t>Kris Sikorski</t>
  </si>
  <si>
    <t>31'de</t>
  </si>
  <si>
    <t>Ny 2024</t>
  </si>
  <si>
    <t>Ny 2025</t>
  </si>
  <si>
    <t xml:space="preserve">Tillegg over </t>
  </si>
  <si>
    <t>&gt;599</t>
  </si>
  <si>
    <t>Prisendring 2025?</t>
  </si>
  <si>
    <t>Ny pris 2025</t>
  </si>
  <si>
    <t>820/40</t>
  </si>
  <si>
    <t>820/20-40</t>
  </si>
  <si>
    <t>NO90 4521045658 - nytt 2025</t>
  </si>
  <si>
    <t>860/43</t>
  </si>
  <si>
    <t>800/20-40</t>
  </si>
  <si>
    <t>Enova Trondheim (COMPASS)</t>
  </si>
  <si>
    <t xml:space="preserve">Org nr </t>
  </si>
  <si>
    <t>Festa trafikkskole</t>
  </si>
  <si>
    <t>Årlig forskudd</t>
  </si>
  <si>
    <t>statistikk 2025:</t>
  </si>
  <si>
    <t>NB! Fakturer epost til Geir</t>
  </si>
  <si>
    <t>Husk pristabell sendes til Lisa årlig</t>
  </si>
  <si>
    <t>Terminfaktureres etterskuddsvis</t>
  </si>
  <si>
    <t>pr kvartal fra 1 januar 2025</t>
  </si>
  <si>
    <t>Første faktura 31.03.2025 - konf Geir!</t>
  </si>
  <si>
    <t>alskog tilbak</t>
  </si>
  <si>
    <t>april</t>
  </si>
  <si>
    <t>Sagt opp 11/3-25 - 12 mnd - siste faktura sendes 31/3 2026</t>
  </si>
  <si>
    <t>Sagt opp i mars. 3 md. Siste faktura juni 2025</t>
  </si>
  <si>
    <t>Compass Group, Trondheim - Enova Powerhouse</t>
  </si>
  <si>
    <t>Anorp "0"</t>
  </si>
  <si>
    <t>Sagt opp 20/3-25 -1 mnd siste faktura i april.</t>
  </si>
  <si>
    <t>Ny prismodell f.o.m. april</t>
  </si>
  <si>
    <t xml:space="preserve">Inkl 200 samtaler. </t>
  </si>
  <si>
    <t xml:space="preserve">Eventuelle overskytende faktures </t>
  </si>
  <si>
    <t xml:space="preserve">etterskuddsvis på neste kvartal </t>
  </si>
  <si>
    <t>Forskudd kvartal kr 4980,-</t>
  </si>
  <si>
    <t>faktureres:</t>
  </si>
  <si>
    <t>Husk engelsk tekst på faktura</t>
  </si>
  <si>
    <t>Sagt opp desember 2024, avsluttet mars 2025</t>
  </si>
  <si>
    <t>Faktureres:</t>
  </si>
  <si>
    <t>September</t>
  </si>
  <si>
    <t>Desember</t>
  </si>
  <si>
    <t>August</t>
  </si>
  <si>
    <t xml:space="preserve">November </t>
  </si>
  <si>
    <t>Kvartalsvis Forskudd.</t>
  </si>
  <si>
    <t xml:space="preserve">Øystein Gabrielsen </t>
  </si>
  <si>
    <t>lise.sjolstad@ramboll.no</t>
  </si>
  <si>
    <t xml:space="preserve">Referanse er 1353109 og fint om teksten er på engelsk. </t>
  </si>
  <si>
    <t>Lise Kristin Thun Sjølstad</t>
  </si>
  <si>
    <t>Pris pr besvart samtale mer enn 649 er kr 24,-</t>
  </si>
  <si>
    <t>Rambøll</t>
  </si>
  <si>
    <t>Kun pdf godtas!</t>
  </si>
  <si>
    <t>Einar Alexander Andersen</t>
  </si>
  <si>
    <t>Allskog skal ha en egen månedsstatistikk over opptellingen av vår egne registreringer.</t>
  </si>
  <si>
    <t>Kjetil tar ut en månedsoversikt i excel.  Denne sorteres på dato og aktivitet. Antallet telles opp manuelt og føres manuelt inn i egen logg for allskog!</t>
  </si>
  <si>
    <t>Det sendes en epost til Allskog som inneholder begge statistikkene fra zisson+vår egenproduserte statistikk for siste måned.</t>
  </si>
  <si>
    <t xml:space="preserve">Element Logic Norge og Element Logic Sverige skal ha statistikk tilsendt i separate eposter for begge selskaper, </t>
  </si>
  <si>
    <t>Sendes til Tommy Nygren på epost:  tommy.nygren@elementlogic.no</t>
  </si>
  <si>
    <t>Statistikk til : post@bodyflyfrogner.no</t>
  </si>
  <si>
    <r>
      <rPr>
        <b/>
        <sz val="10"/>
        <rFont val="Arial"/>
        <family val="2"/>
      </rPr>
      <t>Statistikk til:</t>
    </r>
    <r>
      <rPr>
        <sz val="10"/>
        <rFont val="Arial"/>
        <family val="2"/>
      </rPr>
      <t xml:space="preserve">  vivian.erster@caverion.com og Lisa.Johansson@caverion.com</t>
    </r>
  </si>
  <si>
    <r>
      <rPr>
        <b/>
        <sz val="10"/>
        <rFont val="Arial"/>
        <family val="2"/>
      </rPr>
      <t>Statistikk:</t>
    </r>
    <r>
      <rPr>
        <sz val="10"/>
        <rFont val="Arial"/>
        <family val="2"/>
      </rPr>
      <t xml:space="preserve"> kris.sikorski@svarlifescience.com</t>
    </r>
  </si>
  <si>
    <r>
      <rPr>
        <b/>
        <sz val="10"/>
        <rFont val="Arial"/>
        <family val="2"/>
      </rPr>
      <t>Statistikk til :</t>
    </r>
    <r>
      <rPr>
        <sz val="10"/>
        <rFont val="Arial"/>
        <family val="2"/>
      </rPr>
      <t xml:space="preserve"> heidi.eskerud@firstmovergroup.no</t>
    </r>
  </si>
  <si>
    <r>
      <rPr>
        <b/>
        <sz val="10"/>
        <rFont val="Arial"/>
        <family val="2"/>
      </rPr>
      <t xml:space="preserve">Statistikk til: </t>
    </r>
    <r>
      <rPr>
        <sz val="10"/>
        <rFont val="Arial"/>
        <family val="2"/>
      </rPr>
      <t>michael@gpsas.no</t>
    </r>
  </si>
  <si>
    <r>
      <rPr>
        <b/>
        <sz val="10"/>
        <rFont val="Arial"/>
        <family val="2"/>
      </rPr>
      <t xml:space="preserve">Statistikk til: </t>
    </r>
    <r>
      <rPr>
        <sz val="10"/>
        <rFont val="Arial"/>
        <family val="2"/>
      </rPr>
      <t>:  regnskap@kontrollelektro.no</t>
    </r>
  </si>
  <si>
    <r>
      <rPr>
        <b/>
        <sz val="10"/>
        <rFont val="Arial"/>
        <family val="2"/>
      </rPr>
      <t>Statistikk til:</t>
    </r>
    <r>
      <rPr>
        <sz val="10"/>
        <rFont val="Arial"/>
        <family val="2"/>
      </rPr>
      <t xml:space="preserve"> lno@noah.no</t>
    </r>
  </si>
  <si>
    <r>
      <rPr>
        <b/>
        <sz val="10"/>
        <rFont val="Arial"/>
        <family val="2"/>
      </rPr>
      <t>Statistikk til:</t>
    </r>
    <r>
      <rPr>
        <sz val="10"/>
        <rFont val="Arial"/>
        <family val="2"/>
      </rPr>
      <t xml:space="preserve"> post@positiv-trafikkskole.no </t>
    </r>
  </si>
  <si>
    <t>Statistikk til: ptn@standard.no</t>
  </si>
  <si>
    <t>ptn@standard.no</t>
  </si>
  <si>
    <t>lars@2clean.no</t>
  </si>
  <si>
    <t>Ellen.Govatsmark@allskog.no og karin.hokstad@allskog.no</t>
  </si>
  <si>
    <r>
      <rPr>
        <b/>
        <sz val="10"/>
        <rFont val="Arial"/>
        <family val="2"/>
      </rPr>
      <t>Statistikk:</t>
    </r>
    <r>
      <rPr>
        <sz val="10"/>
        <rFont val="Arial"/>
        <family val="2"/>
      </rPr>
      <t xml:space="preserve"> gry.helseth.hansen@veidekke.no</t>
    </r>
  </si>
  <si>
    <r>
      <rPr>
        <b/>
        <sz val="10"/>
        <rFont val="Arial"/>
        <family val="2"/>
      </rPr>
      <t>Statistikk for Norenco og Mekan til:</t>
    </r>
    <r>
      <rPr>
        <sz val="10"/>
        <rFont val="Arial"/>
        <family val="2"/>
      </rPr>
      <t xml:space="preserve"> arne@norenco.no og elise@norenco.no</t>
    </r>
  </si>
  <si>
    <t>Statistikk og loggen sendes:</t>
  </si>
  <si>
    <t>C:\Users\hei\We4you AS\We4you - Internt Sharepoint\statistikk\2025</t>
  </si>
  <si>
    <t>Kjetil legger loggen i mappen:</t>
  </si>
  <si>
    <t>600-649</t>
  </si>
  <si>
    <t>650-699</t>
  </si>
  <si>
    <t>700-749</t>
  </si>
  <si>
    <t>750-799</t>
  </si>
  <si>
    <t>800-849</t>
  </si>
  <si>
    <t>850-899</t>
  </si>
  <si>
    <t>900-949</t>
  </si>
  <si>
    <t>950-999</t>
  </si>
  <si>
    <t>se under</t>
  </si>
  <si>
    <t>inntil 349 anrop</t>
  </si>
  <si>
    <t>Akkodis - Data Respons</t>
  </si>
  <si>
    <t>Domingo</t>
  </si>
  <si>
    <t>Mai 2025</t>
  </si>
  <si>
    <t>organisasjonsnummer 934649206</t>
  </si>
  <si>
    <t>Svein Bjarne Nesbø &lt;svein@sogoshop.no&gt;</t>
  </si>
  <si>
    <t xml:space="preserve">mai </t>
  </si>
  <si>
    <t>Nye Gulv Norge</t>
  </si>
  <si>
    <t xml:space="preserve">Adler </t>
  </si>
  <si>
    <t>Hytteguttene</t>
  </si>
  <si>
    <t>Gulvfag</t>
  </si>
  <si>
    <t xml:space="preserve"> innkjøpsordre 336</t>
  </si>
  <si>
    <t>Standard N</t>
  </si>
  <si>
    <t xml:space="preserve">Standard online </t>
  </si>
  <si>
    <t>Tillegg Victoria</t>
  </si>
  <si>
    <t>Ny avtale med Geir 29.08.2025</t>
  </si>
  <si>
    <t>kr. 1125,- pr mnd, inkl 30 besvarte samtaler med</t>
  </si>
  <si>
    <t>rollover til neste mnd, innenfo en 3 mnd periode. Max besvart 90 samtaler ( +/- 10 bevarte pr mnd</t>
  </si>
  <si>
    <t>Touchcom</t>
  </si>
  <si>
    <t xml:space="preserve">Veidekke </t>
  </si>
  <si>
    <t>Victoria</t>
  </si>
  <si>
    <t>Sagt opp avtale, skal ikke faktureres</t>
  </si>
  <si>
    <t>Sept</t>
  </si>
  <si>
    <t>allskog tilbak</t>
  </si>
  <si>
    <t>Neste 01.09.26-30.08.27</t>
  </si>
  <si>
    <t>+</t>
  </si>
  <si>
    <t>sept,</t>
  </si>
  <si>
    <t>Vera Tank</t>
  </si>
  <si>
    <t>Tor Kjetilson Moe</t>
  </si>
  <si>
    <t>Statistikk til: tkm@cegroup.no</t>
  </si>
  <si>
    <t>Oktober</t>
  </si>
  <si>
    <t>Frano</t>
  </si>
  <si>
    <t>Anrop mellom 21 - 69</t>
  </si>
  <si>
    <t>Okt</t>
  </si>
  <si>
    <t>CEG Norway</t>
  </si>
  <si>
    <t>Avtale oppstart: nov 2025</t>
  </si>
  <si>
    <t>NB EHF faktura + statistikk på epost</t>
  </si>
  <si>
    <t>Statistikk til : tkm@cegroup.no</t>
  </si>
  <si>
    <t>Pristabell 2025</t>
  </si>
  <si>
    <t>pris</t>
  </si>
  <si>
    <t>0-69</t>
  </si>
  <si>
    <t>70-89</t>
  </si>
  <si>
    <t>90-109</t>
  </si>
  <si>
    <t>110-129</t>
  </si>
  <si>
    <t>130-149</t>
  </si>
  <si>
    <t>150-169</t>
  </si>
  <si>
    <t>170-189</t>
  </si>
  <si>
    <t>210-229</t>
  </si>
  <si>
    <t>230-249</t>
  </si>
  <si>
    <t>NEMUS</t>
  </si>
  <si>
    <t>Otto Torvik</t>
  </si>
  <si>
    <t>otto.torvik@nemus.no</t>
  </si>
  <si>
    <t>Svartjeneste inkl 69 samtaler</t>
  </si>
  <si>
    <t>samtaler</t>
  </si>
  <si>
    <t>190-209</t>
  </si>
  <si>
    <t>250-269</t>
  </si>
  <si>
    <t>Horten</t>
  </si>
  <si>
    <t>Nøtterøy</t>
  </si>
  <si>
    <t>Tønsberg</t>
  </si>
  <si>
    <t>Sandefjord</t>
  </si>
  <si>
    <t>Larvik</t>
  </si>
  <si>
    <t>Pristabell_</t>
  </si>
  <si>
    <t>Kundenr</t>
  </si>
  <si>
    <t>Nætterøy</t>
  </si>
  <si>
    <t>Fran</t>
  </si>
  <si>
    <t>Fakturer EHF</t>
  </si>
  <si>
    <t>Fastpris for nr og statestikk</t>
  </si>
  <si>
    <t>Svartjeneste,antall anrop</t>
  </si>
  <si>
    <t>Pristabell</t>
  </si>
  <si>
    <t>Svartjeneste inkl rapport</t>
  </si>
  <si>
    <t>50-69</t>
  </si>
  <si>
    <t>Dental Sør</t>
  </si>
  <si>
    <t>Aase Johnsen</t>
  </si>
  <si>
    <t xml:space="preserve">Statistikk til: </t>
  </si>
  <si>
    <t>Sentralbordtjeneste 0-69 anrop</t>
  </si>
  <si>
    <t>November</t>
  </si>
  <si>
    <t>70-89 anrop</t>
  </si>
  <si>
    <t>Nov</t>
  </si>
  <si>
    <t>2580,-</t>
  </si>
  <si>
    <t>Ny 2026</t>
  </si>
  <si>
    <t>Volum (antall samtaler)</t>
  </si>
  <si>
    <t>Pris (NOK)</t>
  </si>
  <si>
    <t>0 – 69</t>
  </si>
  <si>
    <t>70 – 89</t>
  </si>
  <si>
    <t>90 – 109</t>
  </si>
  <si>
    <t>110 – 129</t>
  </si>
  <si>
    <t>130 – 149</t>
  </si>
  <si>
    <t>150 – 169</t>
  </si>
  <si>
    <t>170 – 189</t>
  </si>
  <si>
    <t>190 – 209</t>
  </si>
  <si>
    <t>210 – 229</t>
  </si>
  <si>
    <t>230 – 249</t>
  </si>
  <si>
    <t>250 – 269</t>
  </si>
  <si>
    <t>270 – 289</t>
  </si>
  <si>
    <t>290 – 309</t>
  </si>
  <si>
    <t>310 – 329</t>
  </si>
  <si>
    <t>330 – 349</t>
  </si>
  <si>
    <t>350 – 369</t>
  </si>
  <si>
    <t>370 – 389</t>
  </si>
  <si>
    <t>390 – 409</t>
  </si>
  <si>
    <t>410 – 429</t>
  </si>
  <si>
    <t>430 – 449</t>
  </si>
  <si>
    <t>450 – 469</t>
  </si>
  <si>
    <t>470 – 489</t>
  </si>
  <si>
    <t>490 – 509</t>
  </si>
  <si>
    <t>510 – 529</t>
  </si>
  <si>
    <t>530 – 549</t>
  </si>
  <si>
    <t>550 – 569</t>
  </si>
  <si>
    <t>570 – 589</t>
  </si>
  <si>
    <t>590 – 609</t>
  </si>
  <si>
    <t>610 – 629</t>
  </si>
  <si>
    <t>630 – 649</t>
  </si>
  <si>
    <t>650 – 669</t>
  </si>
  <si>
    <t>670 – 689</t>
  </si>
  <si>
    <t>690 – 709</t>
  </si>
  <si>
    <t>710 – 729</t>
  </si>
  <si>
    <t>730 – 749</t>
  </si>
  <si>
    <t>750 – 769</t>
  </si>
  <si>
    <t>770 – 789</t>
  </si>
  <si>
    <t>790 – 809</t>
  </si>
  <si>
    <t>810 – 829</t>
  </si>
  <si>
    <t>830 – 849</t>
  </si>
  <si>
    <t>850 – 869</t>
  </si>
  <si>
    <t>870 – 889</t>
  </si>
  <si>
    <t>890 – 909</t>
  </si>
  <si>
    <t>910 – 929</t>
  </si>
  <si>
    <t>930 – 949</t>
  </si>
  <si>
    <t>950 – 969</t>
  </si>
  <si>
    <t>970 – 989</t>
  </si>
  <si>
    <t>990 – 1009</t>
  </si>
  <si>
    <t>1010 – 1029</t>
  </si>
  <si>
    <t>1030 – 1049</t>
  </si>
  <si>
    <t>1050 – 1069</t>
  </si>
  <si>
    <t>1070 – 1089</t>
  </si>
  <si>
    <t>1090 – 1109</t>
  </si>
  <si>
    <t>1110 – 1129</t>
  </si>
  <si>
    <t>1130 – 1149</t>
  </si>
  <si>
    <t>1150 – 1169</t>
  </si>
  <si>
    <t>1170 – 1189</t>
  </si>
  <si>
    <t>1190 – 1209</t>
  </si>
  <si>
    <t>1210 – 1229</t>
  </si>
  <si>
    <t>1230 – 1249</t>
  </si>
  <si>
    <t>1250 – 1269</t>
  </si>
  <si>
    <t>1270 – 1289</t>
  </si>
  <si>
    <t>1290 – 1309</t>
  </si>
  <si>
    <t>1310 – 1329</t>
  </si>
  <si>
    <t>1330 – 1349</t>
  </si>
  <si>
    <t>1350 – 1369</t>
  </si>
  <si>
    <t>1370 – 1389</t>
  </si>
  <si>
    <t>1390 – 1409</t>
  </si>
  <si>
    <t>1410 – 1429</t>
  </si>
  <si>
    <t>1430 – 1449</t>
  </si>
  <si>
    <t>1450 – 1469</t>
  </si>
  <si>
    <t>1470 – 1489</t>
  </si>
  <si>
    <t>1490 – 1509</t>
  </si>
  <si>
    <t>1510 – 1529</t>
  </si>
  <si>
    <t>1530 – 1549</t>
  </si>
  <si>
    <t>1550 – 1569</t>
  </si>
  <si>
    <t>1570 – 1589</t>
  </si>
  <si>
    <t>1590 – 1609</t>
  </si>
  <si>
    <t>1610 – 1629</t>
  </si>
  <si>
    <t>1630 – 1649</t>
  </si>
  <si>
    <t>1650 – 1669</t>
  </si>
  <si>
    <t>1670 – 1689</t>
  </si>
  <si>
    <t>1690 – 1709</t>
  </si>
  <si>
    <t>1710 – 1729</t>
  </si>
  <si>
    <t>1730 – 1749</t>
  </si>
  <si>
    <t>1750 – 1769</t>
  </si>
  <si>
    <t>1770 – 1789</t>
  </si>
  <si>
    <t>1790 – 1809</t>
  </si>
  <si>
    <t>1810 – 1829</t>
  </si>
  <si>
    <t>1830 – 1849</t>
  </si>
  <si>
    <t>1850 – 1869</t>
  </si>
  <si>
    <t>1870 – 1889</t>
  </si>
  <si>
    <t>1890 – 1909</t>
  </si>
  <si>
    <t>1910 – 1929</t>
  </si>
  <si>
    <t>1930 – 1949</t>
  </si>
  <si>
    <t>1950 – 1969</t>
  </si>
  <si>
    <t>1970 – 1989</t>
  </si>
  <si>
    <t>1990 – 2009</t>
  </si>
  <si>
    <t>2010 – 2029</t>
  </si>
  <si>
    <t>2030 – 2049</t>
  </si>
  <si>
    <t>2050 – 2069</t>
  </si>
  <si>
    <t>2070 – 2089</t>
  </si>
  <si>
    <t>2090 – 2109</t>
  </si>
  <si>
    <t>2110 – 2129</t>
  </si>
  <si>
    <t>2130 – 2149</t>
  </si>
  <si>
    <t>2150 – 2169</t>
  </si>
  <si>
    <t>2170 – 2189</t>
  </si>
  <si>
    <t>2190 – 2209</t>
  </si>
  <si>
    <t>2210 – 2229</t>
  </si>
  <si>
    <t>2230 – 2249</t>
  </si>
  <si>
    <t>2250 – 2269</t>
  </si>
  <si>
    <t>2270 – 2289</t>
  </si>
  <si>
    <t>2290 – 2309</t>
  </si>
  <si>
    <t>2310 – 2329</t>
  </si>
  <si>
    <t>2330 – 2349</t>
  </si>
  <si>
    <t>2350 – 2369</t>
  </si>
  <si>
    <t>2370 – 2389</t>
  </si>
  <si>
    <t>2390 – 2409</t>
  </si>
  <si>
    <t>2410 – 2429</t>
  </si>
  <si>
    <t>2430 – 2449</t>
  </si>
  <si>
    <t>2450 – 2469</t>
  </si>
  <si>
    <t>2470 – 2489</t>
  </si>
  <si>
    <t>2490 – 2499</t>
  </si>
  <si>
    <t>Vol fra</t>
  </si>
  <si>
    <t>Vol til</t>
  </si>
  <si>
    <t>Pris</t>
  </si>
  <si>
    <t>Prisendring 2026</t>
  </si>
  <si>
    <t>Over 299:</t>
  </si>
  <si>
    <t>Årlig abnm. faktureres september: 2580,-</t>
  </si>
  <si>
    <t>-Daglig pr. dag 380,-</t>
  </si>
  <si>
    <t>-Ukentlig bruk(f.eks. ferie) 1490,-</t>
  </si>
  <si>
    <t>-Generert rapporter pris pr uke: 210.-</t>
  </si>
  <si>
    <t>Pristabell sentralbordet  gjeldende fra 01.01.-31.12.2026</t>
  </si>
  <si>
    <t>ny pris i 2026</t>
  </si>
  <si>
    <t>700 inntil 20 besvarte anrop + 36 pr anrop mer enn 20</t>
  </si>
  <si>
    <t>860/42</t>
  </si>
  <si>
    <t>2026(konsumpris 1,031</t>
  </si>
  <si>
    <t>Ny pris 2026</t>
  </si>
  <si>
    <t>ny tabell fra jan 2026:</t>
  </si>
  <si>
    <t>860/20-42</t>
  </si>
  <si>
    <t>Pris/fakturering  2026 - periode 3 måneder</t>
  </si>
  <si>
    <t>inkluderer 149 besvarte samtaler</t>
  </si>
  <si>
    <t>inkluderer 99 besvarte samtaler</t>
  </si>
  <si>
    <t xml:space="preserve"> inkluderer 199 besvarte samtaler</t>
  </si>
  <si>
    <t xml:space="preserve"> inkluderer 249 besvarte samtaler</t>
  </si>
  <si>
    <t xml:space="preserve"> inkluderer 299 besvarte samtaler</t>
  </si>
  <si>
    <t>Besvarte samtaler mer enn 299 i kvartaletfaktureres med kr 36,- per besvarte samtale.</t>
  </si>
  <si>
    <t>Ny pris 2026:</t>
  </si>
  <si>
    <t>Forskudd pr kvartal 8880,-</t>
  </si>
  <si>
    <t>Forskudd pr.kvartal 10230,-</t>
  </si>
  <si>
    <t>Etterskudd pr kvartal 2870,-</t>
  </si>
  <si>
    <t>Forskudd kvartal kr 5140,-</t>
  </si>
  <si>
    <t>Forskudd pr kvartal 8880,- eks mva</t>
  </si>
  <si>
    <t>Tabell:</t>
  </si>
  <si>
    <t>Fast pris inntil 40 anrop + stykkpris per anrop mer enn 40</t>
  </si>
  <si>
    <t>Stykkpris</t>
  </si>
  <si>
    <t>Tabell 2025 og 2026</t>
  </si>
  <si>
    <t>Ny Pris 2026:</t>
  </si>
  <si>
    <t>Ny Pris 2026</t>
  </si>
  <si>
    <t>2026: Endret fra 44,- til 46,-</t>
  </si>
  <si>
    <t>PRISLISTE SENTRALBORD TABELL</t>
  </si>
  <si>
    <t>Antall anrop/mnd</t>
  </si>
  <si>
    <t>0 - 99</t>
  </si>
  <si>
    <t>Pris 2026</t>
  </si>
  <si>
    <t>Pr anrop: 36/37/38/39/40/42/44/46</t>
  </si>
  <si>
    <t>samme pris 2026</t>
  </si>
  <si>
    <t>880/45</t>
  </si>
  <si>
    <t>Pristabell Sentralbordet til nov 2026</t>
  </si>
  <si>
    <t>Prisene gjelder per måned. Trinnstørrelse: 20 samtaler. Startpris 0–69 anrop: kr 1 500.</t>
  </si>
  <si>
    <t>820/20-42</t>
  </si>
  <si>
    <t xml:space="preserve">Mai </t>
  </si>
  <si>
    <t xml:space="preserve">Juni </t>
  </si>
  <si>
    <t xml:space="preserve">Juli </t>
  </si>
  <si>
    <t>Sum:</t>
  </si>
  <si>
    <t>Allskog tilb.</t>
  </si>
  <si>
    <t>Endret anropspris 2026 til 42 (fra 40,-)</t>
  </si>
  <si>
    <t>okto</t>
  </si>
  <si>
    <t xml:space="preserve">nov </t>
  </si>
  <si>
    <t>Total</t>
  </si>
  <si>
    <t>Statistikk 2026</t>
  </si>
  <si>
    <t>Standard</t>
  </si>
  <si>
    <t>Online</t>
  </si>
  <si>
    <t>Per Tverfjell Bilomsetning AS</t>
  </si>
  <si>
    <t>Dato: 01.02.2026</t>
  </si>
  <si>
    <t>Per Tverfjell</t>
  </si>
  <si>
    <t>fra 38 til 40</t>
  </si>
  <si>
    <t>kr 36 pr samtale.</t>
  </si>
  <si>
    <t>Besvarte anrop mer enn 299</t>
  </si>
  <si>
    <t>Januar</t>
  </si>
  <si>
    <t>3 125,00</t>
  </si>
  <si>
    <t>Rambøll Norge AS</t>
  </si>
  <si>
    <t>Betalt</t>
  </si>
  <si>
    <t>6 987,50</t>
  </si>
  <si>
    <t>4 950,00</t>
  </si>
  <si>
    <t>8 275,00</t>
  </si>
  <si>
    <t>9 612,50</t>
  </si>
  <si>
    <t>3 942,50</t>
  </si>
  <si>
    <t>februar</t>
  </si>
  <si>
    <t>Pris inkluderer 80 samtaler</t>
  </si>
  <si>
    <t>Anlegg 60309</t>
  </si>
  <si>
    <t>Etablert: Mars 2026</t>
  </si>
  <si>
    <t>Tabell : 0-80</t>
  </si>
  <si>
    <t>.</t>
  </si>
  <si>
    <t>Veidekke industri AS - Sogn</t>
  </si>
  <si>
    <t>samtalelogg pr mnd</t>
  </si>
  <si>
    <t>Samtalelogg pr mnd</t>
  </si>
  <si>
    <t>NY PRIS MARS 2026 Kr 15.000,- inkl statistikk</t>
  </si>
  <si>
    <t>163 tlf , fakturert</t>
  </si>
  <si>
    <t xml:space="preserve">april </t>
  </si>
  <si>
    <t>Ny pris 2026 juni</t>
  </si>
  <si>
    <t>Fastpris pr mnd = 2000,- inkl 20 anrop. Kr. Pr anrop over 20 ( juni)</t>
  </si>
  <si>
    <t>sentralbordtjeneste juni inkl 20 anrop</t>
  </si>
  <si>
    <t>Ny modell fra 2023_ 1600/</t>
  </si>
  <si>
    <t>pr anrop over 99 anrop</t>
  </si>
  <si>
    <t>Pris pr anrop mer enn 299 er kr 42 pr stk.</t>
  </si>
  <si>
    <t>p</t>
  </si>
  <si>
    <t xml:space="preserve">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</si>
</sst>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_ * #,##0_ ;_ * \-#,##0_ ;_ * &quot;-&quot;??_ ;_ @_ "/>
    <numFmt numFmtId="168" formatCode="_-* #,##0_-;\-* #,##0_-;_-* &quot;-&quot;??_-;_-@_-"/>
  </numFmts>
  <fonts count="5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b/>
      <u/>
      <sz val="16"/>
      <name val="Arial"/>
      <family val="2"/>
    </font>
    <font>
      <sz val="7"/>
      <color indexed="8"/>
      <name val="Verdana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u/>
      <sz val="10"/>
      <color indexed="10"/>
      <name val="Arial"/>
      <family val="2"/>
    </font>
    <font>
      <b/>
      <sz val="26"/>
      <name val="Arial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b/>
      <sz val="9"/>
      <name val="Courier"/>
      <family val="3"/>
    </font>
    <font>
      <sz val="11"/>
      <name val="Calibri"/>
      <family val="2"/>
    </font>
    <font>
      <sz val="12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u/>
      <sz val="10"/>
      <color rgb="FFFF0000"/>
      <name val="Arial"/>
      <family val="2"/>
    </font>
    <font>
      <sz val="11"/>
      <color rgb="FFFF0000"/>
      <name val="Calibri"/>
      <family val="2"/>
    </font>
    <font>
      <b/>
      <sz val="10"/>
      <color theme="1"/>
      <name val="Arial"/>
      <family val="2"/>
    </font>
    <font>
      <sz val="7"/>
      <color rgb="FFFF0000"/>
      <name val="Verdana"/>
      <family val="2"/>
    </font>
    <font>
      <b/>
      <sz val="8"/>
      <color rgb="FFFF0000"/>
      <name val="Arial"/>
      <family val="2"/>
    </font>
    <font>
      <b/>
      <u/>
      <sz val="16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6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21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0" xfId="0" applyFont="1"/>
    <xf numFmtId="14" fontId="7" fillId="0" borderId="0" xfId="0" applyNumberFormat="1" applyFont="1"/>
    <xf numFmtId="0" fontId="11" fillId="0" borderId="0" xfId="0" applyFont="1"/>
    <xf numFmtId="0" fontId="0" fillId="2" borderId="0" xfId="0" applyFill="1"/>
    <xf numFmtId="0" fontId="4" fillId="2" borderId="0" xfId="0" applyFont="1" applyFill="1"/>
    <xf numFmtId="0" fontId="0" fillId="0" borderId="0" xfId="0" applyAlignment="1">
      <alignment horizontal="left"/>
    </xf>
    <xf numFmtId="0" fontId="12" fillId="0" borderId="0" xfId="0" applyFont="1"/>
    <xf numFmtId="14" fontId="13" fillId="2" borderId="0" xfId="0" applyNumberFormat="1" applyFont="1" applyFill="1"/>
    <xf numFmtId="4" fontId="9" fillId="0" borderId="0" xfId="0" applyNumberFormat="1" applyFont="1" applyAlignment="1">
      <alignment horizontal="right"/>
    </xf>
    <xf numFmtId="4" fontId="0" fillId="0" borderId="0" xfId="0" applyNumberFormat="1"/>
    <xf numFmtId="9" fontId="0" fillId="0" borderId="0" xfId="0" applyNumberFormat="1"/>
    <xf numFmtId="4" fontId="6" fillId="0" borderId="0" xfId="0" applyNumberFormat="1" applyFont="1"/>
    <xf numFmtId="0" fontId="0" fillId="0" borderId="0" xfId="0" quotePrefix="1" applyAlignment="1">
      <alignment horizontal="left"/>
    </xf>
    <xf numFmtId="0" fontId="9" fillId="0" borderId="0" xfId="0" applyFont="1" applyAlignment="1">
      <alignment horizontal="right"/>
    </xf>
    <xf numFmtId="4" fontId="0" fillId="2" borderId="0" xfId="0" applyNumberFormat="1" applyFill="1"/>
    <xf numFmtId="9" fontId="0" fillId="2" borderId="0" xfId="0" applyNumberFormat="1" applyFill="1"/>
    <xf numFmtId="0" fontId="14" fillId="0" borderId="0" xfId="0" applyFont="1"/>
    <xf numFmtId="14" fontId="14" fillId="0" borderId="0" xfId="0" applyNumberFormat="1" applyFont="1"/>
    <xf numFmtId="0" fontId="15" fillId="0" borderId="0" xfId="0" applyFont="1"/>
    <xf numFmtId="4" fontId="15" fillId="0" borderId="0" xfId="0" applyNumberFormat="1" applyFont="1"/>
    <xf numFmtId="0" fontId="16" fillId="0" borderId="0" xfId="0" applyFont="1"/>
    <xf numFmtId="0" fontId="17" fillId="0" borderId="0" xfId="0" applyFont="1"/>
    <xf numFmtId="0" fontId="7" fillId="0" borderId="0" xfId="0" applyFont="1" applyAlignment="1">
      <alignment horizontal="right"/>
    </xf>
    <xf numFmtId="17" fontId="7" fillId="0" borderId="0" xfId="0" applyNumberFormat="1" applyFont="1"/>
    <xf numFmtId="0" fontId="3" fillId="0" borderId="0" xfId="1" applyAlignment="1" applyProtection="1"/>
    <xf numFmtId="0" fontId="0" fillId="0" borderId="0" xfId="0" quotePrefix="1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4" fillId="2" borderId="0" xfId="0" applyFont="1" applyFill="1" applyAlignment="1">
      <alignment horizontal="right"/>
    </xf>
    <xf numFmtId="0" fontId="7" fillId="2" borderId="0" xfId="0" applyFont="1" applyFill="1"/>
    <xf numFmtId="0" fontId="20" fillId="0" borderId="0" xfId="0" applyFont="1"/>
    <xf numFmtId="0" fontId="34" fillId="0" borderId="0" xfId="0" applyFont="1"/>
    <xf numFmtId="14" fontId="0" fillId="0" borderId="0" xfId="0" applyNumberFormat="1"/>
    <xf numFmtId="0" fontId="35" fillId="2" borderId="0" xfId="0" applyFont="1" applyFill="1"/>
    <xf numFmtId="0" fontId="36" fillId="0" borderId="0" xfId="0" applyFont="1"/>
    <xf numFmtId="0" fontId="35" fillId="0" borderId="0" xfId="0" applyFont="1"/>
    <xf numFmtId="2" fontId="0" fillId="0" borderId="0" xfId="0" applyNumberFormat="1"/>
    <xf numFmtId="3" fontId="0" fillId="0" borderId="0" xfId="0" applyNumberFormat="1"/>
    <xf numFmtId="4" fontId="34" fillId="0" borderId="0" xfId="0" applyNumberFormat="1" applyFont="1"/>
    <xf numFmtId="0" fontId="37" fillId="0" borderId="0" xfId="0" applyFont="1"/>
    <xf numFmtId="0" fontId="7" fillId="0" borderId="0" xfId="0" quotePrefix="1" applyFont="1" applyAlignment="1">
      <alignment horizontal="left"/>
    </xf>
    <xf numFmtId="0" fontId="34" fillId="0" borderId="0" xfId="0" quotePrefix="1" applyFont="1" applyAlignment="1">
      <alignment horizontal="left"/>
    </xf>
    <xf numFmtId="4" fontId="37" fillId="0" borderId="0" xfId="0" applyNumberFormat="1" applyFont="1"/>
    <xf numFmtId="9" fontId="37" fillId="0" borderId="0" xfId="0" applyNumberFormat="1" applyFont="1"/>
    <xf numFmtId="0" fontId="4" fillId="0" borderId="0" xfId="0" quotePrefix="1" applyFont="1" applyAlignment="1">
      <alignment horizontal="left"/>
    </xf>
    <xf numFmtId="0" fontId="37" fillId="0" borderId="0" xfId="0" quotePrefix="1" applyFont="1" applyAlignment="1">
      <alignment horizontal="left"/>
    </xf>
    <xf numFmtId="0" fontId="21" fillId="0" borderId="0" xfId="0" quotePrefix="1" applyFont="1" applyAlignment="1">
      <alignment horizontal="left"/>
    </xf>
    <xf numFmtId="0" fontId="0" fillId="3" borderId="0" xfId="0" applyFill="1"/>
    <xf numFmtId="0" fontId="38" fillId="0" borderId="0" xfId="1" applyFont="1" applyAlignment="1" applyProtection="1"/>
    <xf numFmtId="0" fontId="22" fillId="0" borderId="0" xfId="0" applyFont="1"/>
    <xf numFmtId="0" fontId="7" fillId="2" borderId="0" xfId="0" quotePrefix="1" applyFont="1" applyFill="1" applyAlignment="1">
      <alignment horizontal="left"/>
    </xf>
    <xf numFmtId="0" fontId="35" fillId="2" borderId="0" xfId="0" quotePrefix="1" applyFont="1" applyFill="1" applyAlignment="1">
      <alignment horizontal="left"/>
    </xf>
    <xf numFmtId="17" fontId="0" fillId="0" borderId="0" xfId="0" quotePrefix="1" applyNumberFormat="1" applyAlignment="1">
      <alignment horizontal="left"/>
    </xf>
    <xf numFmtId="0" fontId="23" fillId="0" borderId="0" xfId="0" applyFont="1"/>
    <xf numFmtId="0" fontId="0" fillId="2" borderId="0" xfId="0" quotePrefix="1" applyFill="1" applyAlignment="1">
      <alignment horizontal="left"/>
    </xf>
    <xf numFmtId="0" fontId="10" fillId="0" borderId="0" xfId="0" applyFont="1"/>
    <xf numFmtId="4" fontId="23" fillId="0" borderId="0" xfId="0" applyNumberFormat="1" applyFont="1"/>
    <xf numFmtId="9" fontId="23" fillId="0" borderId="0" xfId="0" applyNumberFormat="1" applyFont="1"/>
    <xf numFmtId="14" fontId="0" fillId="0" borderId="1" xfId="0" applyNumberFormat="1" applyBorder="1"/>
    <xf numFmtId="0" fontId="24" fillId="0" borderId="0" xfId="0" quotePrefix="1" applyFont="1" applyAlignment="1">
      <alignment horizontal="left"/>
    </xf>
    <xf numFmtId="0" fontId="3" fillId="0" borderId="0" xfId="1" quotePrefix="1" applyAlignment="1" applyProtection="1">
      <alignment horizontal="left" vertical="center"/>
    </xf>
    <xf numFmtId="4" fontId="7" fillId="0" borderId="0" xfId="0" applyNumberFormat="1" applyFont="1"/>
    <xf numFmtId="0" fontId="25" fillId="0" borderId="0" xfId="0" applyFont="1"/>
    <xf numFmtId="16" fontId="0" fillId="0" borderId="0" xfId="0" applyNumberFormat="1" applyAlignment="1">
      <alignment horizontal="left"/>
    </xf>
    <xf numFmtId="16" fontId="37" fillId="0" borderId="0" xfId="0" quotePrefix="1" applyNumberFormat="1" applyFont="1" applyAlignment="1">
      <alignment horizontal="left"/>
    </xf>
    <xf numFmtId="17" fontId="37" fillId="0" borderId="0" xfId="0" quotePrefix="1" applyNumberFormat="1" applyFont="1" applyAlignment="1">
      <alignment horizontal="left"/>
    </xf>
    <xf numFmtId="9" fontId="34" fillId="0" borderId="0" xfId="0" applyNumberFormat="1" applyFont="1"/>
    <xf numFmtId="0" fontId="39" fillId="0" borderId="0" xfId="0" applyFont="1"/>
    <xf numFmtId="14" fontId="7" fillId="0" borderId="0" xfId="0" quotePrefix="1" applyNumberFormat="1" applyFont="1" applyAlignment="1">
      <alignment horizontal="left"/>
    </xf>
    <xf numFmtId="0" fontId="9" fillId="0" borderId="0" xfId="0" quotePrefix="1" applyFont="1" applyAlignment="1">
      <alignment horizontal="left"/>
    </xf>
    <xf numFmtId="4" fontId="4" fillId="0" borderId="0" xfId="0" applyNumberFormat="1" applyFont="1"/>
    <xf numFmtId="17" fontId="0" fillId="0" borderId="0" xfId="0" applyNumberFormat="1"/>
    <xf numFmtId="0" fontId="40" fillId="2" borderId="0" xfId="0" quotePrefix="1" applyFont="1" applyFill="1" applyAlignment="1">
      <alignment horizontal="left"/>
    </xf>
    <xf numFmtId="0" fontId="37" fillId="2" borderId="0" xfId="0" applyFont="1" applyFill="1"/>
    <xf numFmtId="0" fontId="37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9" fontId="7" fillId="0" borderId="0" xfId="0" applyNumberFormat="1" applyFont="1"/>
    <xf numFmtId="0" fontId="0" fillId="0" borderId="0" xfId="0" applyAlignment="1">
      <alignment horizontal="right"/>
    </xf>
    <xf numFmtId="0" fontId="23" fillId="0" borderId="0" xfId="0" quotePrefix="1" applyFont="1"/>
    <xf numFmtId="0" fontId="26" fillId="0" borderId="0" xfId="0" applyFont="1"/>
    <xf numFmtId="0" fontId="7" fillId="0" borderId="0" xfId="0" quotePrefix="1" applyFont="1"/>
    <xf numFmtId="0" fontId="7" fillId="0" borderId="0" xfId="0" applyFont="1" applyAlignment="1">
      <alignment horizontal="left"/>
    </xf>
    <xf numFmtId="166" fontId="0" fillId="0" borderId="0" xfId="2" applyNumberFormat="1" applyFont="1"/>
    <xf numFmtId="166" fontId="0" fillId="0" borderId="0" xfId="0" applyNumberFormat="1"/>
    <xf numFmtId="0" fontId="37" fillId="0" borderId="0" xfId="0" quotePrefix="1" applyFont="1"/>
    <xf numFmtId="14" fontId="31" fillId="4" borderId="0" xfId="0" applyNumberFormat="1" applyFont="1" applyFill="1"/>
    <xf numFmtId="0" fontId="31" fillId="4" borderId="0" xfId="0" applyFont="1" applyFill="1"/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40" fillId="6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14" fontId="40" fillId="6" borderId="1" xfId="0" applyNumberFormat="1" applyFont="1" applyFill="1" applyBorder="1" applyAlignment="1">
      <alignment horizontal="center"/>
    </xf>
    <xf numFmtId="0" fontId="35" fillId="0" borderId="0" xfId="0" quotePrefix="1" applyFont="1" applyAlignment="1">
      <alignment horizontal="left"/>
    </xf>
    <xf numFmtId="0" fontId="40" fillId="0" borderId="0" xfId="0" applyFont="1"/>
    <xf numFmtId="0" fontId="1" fillId="0" borderId="0" xfId="0" applyFont="1"/>
    <xf numFmtId="0" fontId="1" fillId="0" borderId="1" xfId="0" applyFont="1" applyBorder="1"/>
    <xf numFmtId="167" fontId="0" fillId="0" borderId="0" xfId="2" applyNumberFormat="1" applyFont="1" applyFill="1" applyBorder="1" applyAlignment="1">
      <alignment horizontal="left"/>
    </xf>
    <xf numFmtId="167" fontId="0" fillId="0" borderId="0" xfId="2" applyNumberFormat="1" applyFont="1" applyFill="1" applyBorder="1"/>
    <xf numFmtId="0" fontId="1" fillId="2" borderId="0" xfId="0" applyFont="1" applyFill="1"/>
    <xf numFmtId="0" fontId="0" fillId="7" borderId="0" xfId="0" applyFill="1"/>
    <xf numFmtId="0" fontId="4" fillId="3" borderId="0" xfId="0" applyFont="1" applyFill="1"/>
    <xf numFmtId="0" fontId="0" fillId="8" borderId="0" xfId="0" applyFill="1"/>
    <xf numFmtId="0" fontId="34" fillId="0" borderId="0" xfId="0" applyFont="1" applyAlignment="1">
      <alignment horizontal="left"/>
    </xf>
    <xf numFmtId="0" fontId="41" fillId="0" borderId="0" xfId="0" applyFont="1"/>
    <xf numFmtId="14" fontId="42" fillId="2" borderId="0" xfId="0" applyNumberFormat="1" applyFont="1" applyFill="1"/>
    <xf numFmtId="0" fontId="34" fillId="2" borderId="0" xfId="0" applyFont="1" applyFill="1"/>
    <xf numFmtId="0" fontId="38" fillId="0" borderId="0" xfId="0" applyFont="1"/>
    <xf numFmtId="0" fontId="36" fillId="0" borderId="0" xfId="0" applyFont="1" applyAlignment="1">
      <alignment horizontal="right"/>
    </xf>
    <xf numFmtId="4" fontId="36" fillId="0" borderId="0" xfId="0" applyNumberFormat="1" applyFont="1" applyAlignment="1">
      <alignment horizontal="right"/>
    </xf>
    <xf numFmtId="0" fontId="7" fillId="7" borderId="0" xfId="0" quotePrefix="1" applyFont="1" applyFill="1" applyAlignment="1">
      <alignment horizontal="left"/>
    </xf>
    <xf numFmtId="4" fontId="0" fillId="7" borderId="0" xfId="0" applyNumberFormat="1" applyFill="1"/>
    <xf numFmtId="9" fontId="0" fillId="7" borderId="0" xfId="0" applyNumberFormat="1" applyFill="1"/>
    <xf numFmtId="4" fontId="6" fillId="7" borderId="0" xfId="0" applyNumberFormat="1" applyFont="1" applyFill="1"/>
    <xf numFmtId="0" fontId="7" fillId="7" borderId="0" xfId="0" applyFont="1" applyFill="1"/>
    <xf numFmtId="0" fontId="7" fillId="7" borderId="0" xfId="0" quotePrefix="1" applyFont="1" applyFill="1"/>
    <xf numFmtId="0" fontId="1" fillId="7" borderId="0" xfId="0" applyFont="1" applyFill="1"/>
    <xf numFmtId="0" fontId="0" fillId="7" borderId="0" xfId="0" quotePrefix="1" applyFill="1" applyAlignment="1">
      <alignment horizontal="left"/>
    </xf>
    <xf numFmtId="0" fontId="35" fillId="7" borderId="0" xfId="0" applyFont="1" applyFill="1"/>
    <xf numFmtId="0" fontId="1" fillId="9" borderId="0" xfId="0" applyFont="1" applyFill="1"/>
    <xf numFmtId="0" fontId="1" fillId="10" borderId="0" xfId="0" applyFont="1" applyFill="1"/>
    <xf numFmtId="0" fontId="43" fillId="10" borderId="0" xfId="0" applyFont="1" applyFill="1"/>
    <xf numFmtId="0" fontId="34" fillId="10" borderId="0" xfId="0" applyFont="1" applyFill="1"/>
    <xf numFmtId="0" fontId="35" fillId="10" borderId="0" xfId="0" applyFont="1" applyFill="1"/>
    <xf numFmtId="0" fontId="34" fillId="10" borderId="0" xfId="0" quotePrefix="1" applyFont="1" applyFill="1" applyAlignment="1">
      <alignment horizontal="left"/>
    </xf>
    <xf numFmtId="0" fontId="34" fillId="10" borderId="0" xfId="0" applyFont="1" applyFill="1" applyAlignment="1">
      <alignment horizontal="left"/>
    </xf>
    <xf numFmtId="0" fontId="41" fillId="10" borderId="0" xfId="0" applyFont="1" applyFill="1"/>
    <xf numFmtId="14" fontId="42" fillId="10" borderId="0" xfId="0" applyNumberFormat="1" applyFont="1" applyFill="1"/>
    <xf numFmtId="0" fontId="36" fillId="10" borderId="0" xfId="0" applyFont="1" applyFill="1"/>
    <xf numFmtId="0" fontId="38" fillId="10" borderId="0" xfId="0" applyFont="1" applyFill="1"/>
    <xf numFmtId="0" fontId="36" fillId="10" borderId="0" xfId="0" applyFont="1" applyFill="1" applyAlignment="1">
      <alignment horizontal="right"/>
    </xf>
    <xf numFmtId="4" fontId="36" fillId="10" borderId="0" xfId="0" applyNumberFormat="1" applyFont="1" applyFill="1" applyAlignment="1">
      <alignment horizontal="right"/>
    </xf>
    <xf numFmtId="4" fontId="34" fillId="10" borderId="0" xfId="0" applyNumberFormat="1" applyFont="1" applyFill="1"/>
    <xf numFmtId="9" fontId="34" fillId="10" borderId="0" xfId="0" applyNumberFormat="1" applyFont="1" applyFill="1"/>
    <xf numFmtId="0" fontId="44" fillId="10" borderId="0" xfId="0" applyFont="1" applyFill="1"/>
    <xf numFmtId="4" fontId="44" fillId="10" borderId="0" xfId="0" applyNumberFormat="1" applyFont="1" applyFill="1"/>
    <xf numFmtId="0" fontId="40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/>
    </xf>
    <xf numFmtId="0" fontId="7" fillId="0" borderId="0" xfId="0" applyFont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1" fillId="0" borderId="0" xfId="0" applyNumberFormat="1" applyFont="1"/>
    <xf numFmtId="0" fontId="1" fillId="0" borderId="0" xfId="0" quotePrefix="1" applyFont="1" applyAlignment="1">
      <alignment horizontal="center"/>
    </xf>
    <xf numFmtId="2" fontId="4" fillId="0" borderId="0" xfId="0" applyNumberFormat="1" applyFont="1"/>
    <xf numFmtId="0" fontId="0" fillId="10" borderId="0" xfId="0" applyFill="1"/>
    <xf numFmtId="0" fontId="45" fillId="0" borderId="0" xfId="1" applyFont="1" applyAlignment="1" applyProtection="1"/>
    <xf numFmtId="0" fontId="4" fillId="10" borderId="0" xfId="0" applyFont="1" applyFill="1"/>
    <xf numFmtId="0" fontId="4" fillId="10" borderId="0" xfId="0" quotePrefix="1" applyFont="1" applyFill="1" applyAlignment="1">
      <alignment horizontal="left"/>
    </xf>
    <xf numFmtId="0" fontId="46" fillId="0" borderId="0" xfId="0" applyFont="1"/>
    <xf numFmtId="0" fontId="47" fillId="0" borderId="0" xfId="0" applyFont="1" applyAlignment="1">
      <alignment horizontal="right"/>
    </xf>
    <xf numFmtId="0" fontId="47" fillId="0" borderId="0" xfId="0" applyFont="1"/>
    <xf numFmtId="1" fontId="47" fillId="0" borderId="0" xfId="0" applyNumberFormat="1" applyFont="1"/>
    <xf numFmtId="0" fontId="45" fillId="0" borderId="0" xfId="0" applyFont="1" applyAlignment="1">
      <alignment horizontal="right"/>
    </xf>
    <xf numFmtId="1" fontId="0" fillId="0" borderId="0" xfId="0" applyNumberFormat="1"/>
    <xf numFmtId="168" fontId="46" fillId="0" borderId="0" xfId="0" applyNumberFormat="1" applyFont="1"/>
    <xf numFmtId="0" fontId="48" fillId="11" borderId="5" xfId="0" applyFont="1" applyFill="1" applyBorder="1" applyAlignment="1">
      <alignment horizontal="center"/>
    </xf>
    <xf numFmtId="0" fontId="0" fillId="12" borderId="5" xfId="0" applyFill="1" applyBorder="1" applyAlignment="1">
      <alignment horizontal="left"/>
    </xf>
    <xf numFmtId="3" fontId="0" fillId="12" borderId="5" xfId="0" applyNumberFormat="1" applyFill="1" applyBorder="1" applyAlignment="1">
      <alignment horizontal="right"/>
    </xf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horizontal="right"/>
    </xf>
    <xf numFmtId="4" fontId="0" fillId="13" borderId="0" xfId="0" applyNumberFormat="1" applyFill="1"/>
    <xf numFmtId="0" fontId="50" fillId="11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2" xfId="0" applyFont="1" applyBorder="1"/>
    <xf numFmtId="0" fontId="4" fillId="0" borderId="4" xfId="0" applyFont="1" applyBorder="1"/>
    <xf numFmtId="0" fontId="23" fillId="0" borderId="0" xfId="0" quotePrefix="1" applyFont="1" applyAlignment="1">
      <alignment horizontal="left"/>
    </xf>
    <xf numFmtId="9" fontId="4" fillId="0" borderId="0" xfId="0" applyNumberFormat="1" applyFont="1"/>
    <xf numFmtId="165" fontId="4" fillId="0" borderId="0" xfId="2" applyNumberFormat="1" applyFont="1"/>
    <xf numFmtId="0" fontId="4" fillId="0" borderId="3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7" fillId="10" borderId="0" xfId="0" applyFont="1" applyFill="1"/>
    <xf numFmtId="0" fontId="51" fillId="0" borderId="0" xfId="0" applyFont="1"/>
    <xf numFmtId="10" fontId="0" fillId="0" borderId="0" xfId="0" applyNumberFormat="1"/>
    <xf numFmtId="17" fontId="1" fillId="0" borderId="0" xfId="0" applyNumberFormat="1" applyFont="1"/>
    <xf numFmtId="0" fontId="4" fillId="0" borderId="0" xfId="0" applyFont="1" applyAlignment="1">
      <alignment horizontal="left"/>
    </xf>
    <xf numFmtId="0" fontId="7" fillId="10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/>
    <xf numFmtId="9" fontId="1" fillId="0" borderId="0" xfId="0" applyNumberFormat="1" applyFont="1"/>
    <xf numFmtId="0" fontId="0" fillId="14" borderId="0" xfId="0" applyFill="1"/>
    <xf numFmtId="3" fontId="0" fillId="10" borderId="0" xfId="0" applyNumberFormat="1" applyFill="1"/>
    <xf numFmtId="0" fontId="4" fillId="14" borderId="0" xfId="0" applyFont="1" applyFill="1"/>
    <xf numFmtId="0" fontId="1" fillId="15" borderId="0" xfId="0" applyFont="1" applyFill="1"/>
    <xf numFmtId="0" fontId="0" fillId="15" borderId="0" xfId="0" applyFill="1"/>
    <xf numFmtId="0" fontId="4" fillId="7" borderId="0" xfId="0" applyFont="1" applyFill="1"/>
    <xf numFmtId="4" fontId="0" fillId="10" borderId="0" xfId="0" applyNumberFormat="1" applyFill="1"/>
    <xf numFmtId="9" fontId="0" fillId="10" borderId="0" xfId="0" applyNumberFormat="1" applyFill="1"/>
    <xf numFmtId="0" fontId="1" fillId="14" borderId="0" xfId="0" applyFont="1" applyFill="1"/>
    <xf numFmtId="0" fontId="1" fillId="0" borderId="0" xfId="0" quotePrefix="1" applyFont="1" applyAlignment="1">
      <alignment horizontal="center"/>
    </xf>
    <xf numFmtId="0" fontId="49" fillId="0" borderId="0" xfId="0" applyFont="1" applyAlignment="1">
      <alignment horizontal="center"/>
    </xf>
    <xf numFmtId="0" fontId="0" fillId="0" borderId="0" xfId="0"/>
    <xf numFmtId="0" fontId="25" fillId="0" borderId="0" xfId="0" applyFont="1" applyAlignment="1">
      <alignment wrapText="1"/>
    </xf>
  </cellXfs>
  <cellStyles count="3">
    <cellStyle name="Hyperkobling" xfId="1" builtinId="8"/>
    <cellStyle name="Komma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bes@bes.no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mailto:otto.torvik@nemus.no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mailto:Invoice.no14@philips.com" TargetMode="Externa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mailto:faktura@promon.no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openxmlformats.org/officeDocument/2006/relationships/hyperlink" Target="mailto:invoice.preno@prevas.no" TargetMode="Externa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hyperlink" Target="mailto:regnskap@safenordic.no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5.bin"/><Relationship Id="rId1" Type="http://schemas.openxmlformats.org/officeDocument/2006/relationships/hyperlink" Target="mailto:invoiceactavisno@teva.se" TargetMode="Externa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B4DA-8704-49D7-9201-F8298D18230E}">
  <sheetPr codeName="Ark1">
    <pageSetUpPr fitToPage="1"/>
  </sheetPr>
  <dimension ref="A2:T24"/>
  <sheetViews>
    <sheetView workbookViewId="0">
      <selection activeCell="N14" sqref="N14"/>
    </sheetView>
  </sheetViews>
  <sheetFormatPr baseColWidth="10" defaultRowHeight="12.75" x14ac:dyDescent="0.2"/>
  <cols>
    <col min="1" max="1" width="22.85546875" customWidth="1"/>
    <col min="3" max="3" width="3" customWidth="1"/>
    <col min="4" max="4" width="15.5703125" customWidth="1"/>
    <col min="5" max="5" width="3.140625" customWidth="1"/>
    <col min="6" max="6" width="30.28515625" bestFit="1" customWidth="1"/>
    <col min="7" max="7" width="8.85546875" customWidth="1"/>
    <col min="8" max="8" width="5" bestFit="1" customWidth="1"/>
    <col min="9" max="20" width="6.7109375" customWidth="1"/>
  </cols>
  <sheetData>
    <row r="2" spans="1:20" x14ac:dyDescent="0.2">
      <c r="A2" s="78" t="s">
        <v>250</v>
      </c>
      <c r="B2" s="4"/>
      <c r="C2" s="4"/>
      <c r="D2" s="4"/>
      <c r="E2" s="4"/>
      <c r="F2" s="4"/>
      <c r="G2" s="4"/>
    </row>
    <row r="3" spans="1:20" x14ac:dyDescent="0.2">
      <c r="A3" s="4"/>
      <c r="B3" s="4"/>
      <c r="C3" s="4"/>
      <c r="D3" s="4"/>
      <c r="E3" s="4"/>
      <c r="F3" s="4"/>
      <c r="G3" s="4"/>
    </row>
    <row r="4" spans="1:20" x14ac:dyDescent="0.2">
      <c r="A4" s="5" t="s">
        <v>0</v>
      </c>
      <c r="B4" s="5" t="s">
        <v>3</v>
      </c>
      <c r="D4" s="5" t="s">
        <v>2</v>
      </c>
      <c r="E4" s="2" t="s">
        <v>1</v>
      </c>
      <c r="F4" s="5" t="s">
        <v>6</v>
      </c>
      <c r="G4" s="5" t="s">
        <v>5</v>
      </c>
      <c r="I4" s="96" t="s">
        <v>81</v>
      </c>
      <c r="J4" s="97" t="s">
        <v>72</v>
      </c>
      <c r="K4" s="98" t="s">
        <v>75</v>
      </c>
      <c r="L4" s="96" t="s">
        <v>76</v>
      </c>
      <c r="M4" s="97" t="s">
        <v>77</v>
      </c>
      <c r="N4" s="98" t="s">
        <v>82</v>
      </c>
      <c r="O4" s="96" t="s">
        <v>83</v>
      </c>
      <c r="P4" s="97" t="s">
        <v>33</v>
      </c>
      <c r="Q4" s="98" t="s">
        <v>70</v>
      </c>
      <c r="R4" s="96" t="s">
        <v>34</v>
      </c>
      <c r="S4" s="97" t="s">
        <v>35</v>
      </c>
      <c r="T4" s="98" t="s">
        <v>36</v>
      </c>
    </row>
    <row r="5" spans="1:20" x14ac:dyDescent="0.2">
      <c r="A5" s="4"/>
      <c r="B5" s="5" t="s">
        <v>4</v>
      </c>
      <c r="D5" s="4"/>
      <c r="E5" s="4"/>
      <c r="F5" s="4"/>
      <c r="G5" s="4"/>
      <c r="I5" s="99"/>
      <c r="J5" s="100"/>
      <c r="K5" s="101"/>
      <c r="L5" s="99"/>
      <c r="M5" s="100"/>
      <c r="N5" s="101"/>
      <c r="O5" s="99"/>
      <c r="P5" s="100"/>
      <c r="Q5" s="101"/>
      <c r="R5" s="102"/>
      <c r="S5" s="103"/>
      <c r="T5" s="104"/>
    </row>
    <row r="6" spans="1:20" x14ac:dyDescent="0.2">
      <c r="A6" s="1"/>
      <c r="B6" s="4"/>
      <c r="D6" s="4"/>
      <c r="E6" s="4"/>
      <c r="F6" s="4"/>
      <c r="G6" s="9"/>
      <c r="I6" s="99"/>
      <c r="J6" s="100"/>
      <c r="K6" s="101"/>
      <c r="L6" s="99"/>
      <c r="M6" s="100"/>
      <c r="N6" s="101"/>
      <c r="O6" s="99"/>
      <c r="P6" s="100"/>
      <c r="Q6" s="101"/>
      <c r="R6" s="102"/>
      <c r="S6" s="105"/>
      <c r="T6" s="104"/>
    </row>
    <row r="7" spans="1:20" x14ac:dyDescent="0.2">
      <c r="A7" s="1"/>
      <c r="B7" s="4"/>
      <c r="D7" s="4"/>
      <c r="E7" s="4"/>
      <c r="F7" s="4"/>
      <c r="G7" s="9"/>
      <c r="I7" s="99"/>
      <c r="J7" s="100"/>
      <c r="K7" s="101"/>
      <c r="L7" s="99"/>
      <c r="M7" s="100"/>
      <c r="N7" s="101"/>
      <c r="O7" s="99"/>
      <c r="P7" s="100"/>
      <c r="Q7" s="101"/>
      <c r="R7" s="102"/>
      <c r="S7" s="105"/>
      <c r="T7" s="104"/>
    </row>
    <row r="8" spans="1:20" x14ac:dyDescent="0.2">
      <c r="A8" s="1" t="s">
        <v>242</v>
      </c>
      <c r="B8" s="4">
        <v>32693</v>
      </c>
      <c r="D8" s="4" t="s">
        <v>84</v>
      </c>
      <c r="E8" s="4"/>
      <c r="F8" s="108" t="s">
        <v>810</v>
      </c>
      <c r="G8" s="77" t="s">
        <v>244</v>
      </c>
      <c r="I8" s="99" t="s">
        <v>86</v>
      </c>
      <c r="J8" s="100"/>
      <c r="K8" s="101"/>
      <c r="L8" s="99" t="s">
        <v>86</v>
      </c>
      <c r="M8" s="100"/>
      <c r="N8" s="101"/>
      <c r="O8" s="99" t="s">
        <v>86</v>
      </c>
      <c r="P8" s="100"/>
      <c r="Q8" s="101"/>
      <c r="R8" s="102" t="s">
        <v>86</v>
      </c>
      <c r="S8" s="105"/>
      <c r="T8" s="104"/>
    </row>
    <row r="9" spans="1:20" x14ac:dyDescent="0.2">
      <c r="A9" s="1"/>
      <c r="B9" s="4"/>
      <c r="D9" s="4"/>
      <c r="E9" s="4"/>
      <c r="F9" s="4"/>
      <c r="G9" s="9"/>
      <c r="I9" s="99"/>
      <c r="J9" s="100"/>
      <c r="K9" s="101"/>
      <c r="L9" s="99"/>
      <c r="M9" s="100"/>
      <c r="N9" s="101"/>
      <c r="O9" s="99"/>
      <c r="P9" s="100"/>
      <c r="Q9" s="101"/>
      <c r="R9" s="102"/>
      <c r="S9" s="105"/>
      <c r="T9" s="104"/>
    </row>
    <row r="10" spans="1:20" x14ac:dyDescent="0.2">
      <c r="A10" s="1" t="s">
        <v>243</v>
      </c>
      <c r="B10" s="4">
        <v>32710</v>
      </c>
      <c r="D10" s="4" t="s">
        <v>84</v>
      </c>
      <c r="E10" s="4"/>
      <c r="F10" s="108" t="s">
        <v>814</v>
      </c>
      <c r="G10" s="77" t="s">
        <v>244</v>
      </c>
      <c r="I10" s="99"/>
      <c r="J10" s="100"/>
      <c r="K10" s="101" t="s">
        <v>86</v>
      </c>
      <c r="L10" s="99"/>
      <c r="M10" s="100"/>
      <c r="N10" s="101" t="s">
        <v>86</v>
      </c>
      <c r="O10" s="99"/>
      <c r="P10" s="100"/>
      <c r="Q10" s="101" t="s">
        <v>86</v>
      </c>
      <c r="R10" s="102"/>
      <c r="S10" s="105"/>
      <c r="T10" s="104" t="s">
        <v>86</v>
      </c>
    </row>
    <row r="11" spans="1:20" x14ac:dyDescent="0.2">
      <c r="A11" s="4"/>
      <c r="B11" s="4"/>
      <c r="C11" s="4"/>
      <c r="D11" s="4"/>
      <c r="E11" s="7"/>
      <c r="F11" s="4"/>
      <c r="G11" s="25"/>
      <c r="I11" s="99"/>
      <c r="J11" s="100"/>
      <c r="K11" s="101"/>
      <c r="L11" s="99"/>
      <c r="M11" s="100"/>
      <c r="N11" s="101"/>
      <c r="O11" s="99"/>
      <c r="P11" s="100"/>
      <c r="Q11" s="101"/>
      <c r="R11" s="102"/>
      <c r="S11" s="103"/>
      <c r="T11" s="104"/>
    </row>
    <row r="12" spans="1:20" x14ac:dyDescent="0.2">
      <c r="A12" s="53" t="s">
        <v>236</v>
      </c>
      <c r="B12" s="4">
        <v>30308</v>
      </c>
      <c r="C12" s="4" t="s">
        <v>1</v>
      </c>
      <c r="D12" s="4" t="s">
        <v>84</v>
      </c>
      <c r="E12" s="4" t="s">
        <v>1</v>
      </c>
      <c r="F12" s="108" t="s">
        <v>811</v>
      </c>
      <c r="G12" s="9" t="s">
        <v>85</v>
      </c>
      <c r="I12" s="99"/>
      <c r="J12" s="100" t="s">
        <v>86</v>
      </c>
      <c r="K12" s="101"/>
      <c r="L12" s="99"/>
      <c r="M12" s="100" t="s">
        <v>86</v>
      </c>
      <c r="N12" s="101"/>
      <c r="O12" s="99"/>
      <c r="P12" s="100" t="s">
        <v>86</v>
      </c>
      <c r="Q12" s="101"/>
      <c r="R12" s="102"/>
      <c r="S12" s="105" t="s">
        <v>86</v>
      </c>
      <c r="T12" s="104"/>
    </row>
    <row r="13" spans="1:20" x14ac:dyDescent="0.2">
      <c r="A13" s="49" t="s">
        <v>1</v>
      </c>
      <c r="B13" s="4"/>
      <c r="C13" s="4"/>
      <c r="D13" s="6"/>
      <c r="E13" s="4"/>
      <c r="F13" s="4"/>
      <c r="G13" s="9"/>
      <c r="I13" s="99"/>
      <c r="J13" s="100"/>
      <c r="K13" s="101"/>
      <c r="L13" s="99"/>
      <c r="M13" s="100"/>
      <c r="N13" s="101"/>
      <c r="O13" s="99"/>
      <c r="P13" s="100"/>
      <c r="Q13" s="101"/>
      <c r="R13" s="102"/>
      <c r="S13" s="103"/>
      <c r="T13" s="104"/>
    </row>
    <row r="14" spans="1:20" x14ac:dyDescent="0.2">
      <c r="A14" s="1" t="s">
        <v>234</v>
      </c>
      <c r="B14" s="4"/>
      <c r="C14" s="4"/>
      <c r="D14" s="4" t="s">
        <v>84</v>
      </c>
      <c r="E14" s="4"/>
      <c r="F14" s="24" t="s">
        <v>812</v>
      </c>
      <c r="G14" s="9" t="s">
        <v>498</v>
      </c>
      <c r="I14" s="99"/>
      <c r="J14" s="100" t="s">
        <v>1</v>
      </c>
      <c r="K14" s="101" t="s">
        <v>86</v>
      </c>
      <c r="L14" s="99"/>
      <c r="M14" s="100"/>
      <c r="N14" s="101" t="s">
        <v>86</v>
      </c>
      <c r="O14" s="99"/>
      <c r="P14" s="100"/>
      <c r="Q14" s="101" t="s">
        <v>86</v>
      </c>
      <c r="R14" s="102"/>
      <c r="S14" s="103"/>
      <c r="T14" s="104" t="s">
        <v>86</v>
      </c>
    </row>
    <row r="15" spans="1:20" x14ac:dyDescent="0.2">
      <c r="I15" s="99"/>
      <c r="J15" s="100" t="s">
        <v>1</v>
      </c>
      <c r="K15" s="101"/>
      <c r="L15" s="99"/>
      <c r="M15" s="100"/>
      <c r="N15" s="101"/>
      <c r="O15" s="99"/>
      <c r="P15" s="100"/>
      <c r="Q15" s="101"/>
      <c r="R15" s="102"/>
      <c r="S15" s="103"/>
      <c r="T15" s="104"/>
    </row>
    <row r="16" spans="1:20" x14ac:dyDescent="0.2">
      <c r="A16" s="1" t="s">
        <v>512</v>
      </c>
      <c r="D16" s="4" t="s">
        <v>513</v>
      </c>
      <c r="F16" s="108" t="s">
        <v>658</v>
      </c>
      <c r="G16" s="4" t="s">
        <v>70</v>
      </c>
      <c r="I16" s="99"/>
      <c r="J16" s="100"/>
      <c r="K16" s="101"/>
      <c r="L16" s="99"/>
      <c r="M16" s="100"/>
      <c r="N16" s="101"/>
      <c r="O16" s="99"/>
      <c r="P16" s="100" t="s">
        <v>1</v>
      </c>
      <c r="Q16" s="101" t="s">
        <v>86</v>
      </c>
      <c r="R16" s="102"/>
      <c r="S16" s="105"/>
      <c r="T16" s="104"/>
    </row>
    <row r="17" spans="1:20" x14ac:dyDescent="0.2">
      <c r="F17" s="4" t="s">
        <v>1</v>
      </c>
      <c r="I17" s="99"/>
      <c r="J17" s="100" t="s">
        <v>1</v>
      </c>
      <c r="K17" s="101"/>
      <c r="L17" s="99"/>
      <c r="M17" s="100"/>
      <c r="N17" s="101"/>
      <c r="O17" s="99"/>
      <c r="P17" s="100"/>
      <c r="Q17" s="101"/>
      <c r="R17" s="102"/>
      <c r="S17" s="103"/>
      <c r="T17" s="104"/>
    </row>
    <row r="18" spans="1:20" x14ac:dyDescent="0.2">
      <c r="A18" s="1" t="s">
        <v>524</v>
      </c>
      <c r="B18">
        <v>33010</v>
      </c>
      <c r="D18" t="s">
        <v>84</v>
      </c>
      <c r="F18" s="108" t="s">
        <v>813</v>
      </c>
      <c r="G18" t="s">
        <v>498</v>
      </c>
      <c r="I18" s="99" t="s">
        <v>86</v>
      </c>
      <c r="J18" s="100" t="s">
        <v>1</v>
      </c>
      <c r="K18" s="101"/>
      <c r="L18" s="99" t="s">
        <v>86</v>
      </c>
      <c r="M18" s="100"/>
      <c r="N18" s="101"/>
      <c r="O18" s="99" t="s">
        <v>86</v>
      </c>
      <c r="P18" s="100"/>
      <c r="Q18" s="101"/>
      <c r="R18" s="102" t="s">
        <v>86</v>
      </c>
      <c r="S18" s="103"/>
      <c r="T18" s="104"/>
    </row>
    <row r="19" spans="1:20" x14ac:dyDescent="0.2">
      <c r="I19" s="99"/>
      <c r="J19" s="100" t="s">
        <v>1</v>
      </c>
      <c r="K19" s="101"/>
      <c r="L19" s="99"/>
      <c r="M19" s="100"/>
      <c r="N19" s="101"/>
      <c r="O19" s="99"/>
      <c r="P19" s="100"/>
      <c r="Q19" s="101"/>
      <c r="R19" s="102"/>
      <c r="S19" s="103"/>
      <c r="T19" s="104"/>
    </row>
    <row r="20" spans="1:20" x14ac:dyDescent="0.2">
      <c r="I20" s="99"/>
      <c r="J20" s="100" t="s">
        <v>1</v>
      </c>
      <c r="K20" s="101"/>
      <c r="L20" s="99"/>
      <c r="M20" s="100"/>
      <c r="N20" s="101"/>
      <c r="O20" s="99"/>
      <c r="P20" s="100"/>
      <c r="Q20" s="101"/>
      <c r="R20" s="102"/>
      <c r="S20" s="103"/>
      <c r="T20" s="104"/>
    </row>
    <row r="24" spans="1:20" x14ac:dyDescent="0.2">
      <c r="A24" s="4"/>
    </row>
  </sheetData>
  <pageMargins left="0.70866141732283472" right="0.70866141732283472" top="0.74803149606299213" bottom="0.74803149606299213" header="0.31496062992125984" footer="0.31496062992125984"/>
  <pageSetup paperSize="9" scale="7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ECD1-90D4-444F-A8A8-7A43C9BA9604}">
  <sheetPr codeName="Ark3"/>
  <dimension ref="B2:F24"/>
  <sheetViews>
    <sheetView workbookViewId="0">
      <selection activeCell="H14" sqref="H14"/>
    </sheetView>
  </sheetViews>
  <sheetFormatPr baseColWidth="10" defaultRowHeight="12.75" x14ac:dyDescent="0.2"/>
  <cols>
    <col min="1" max="1" width="8.7109375" customWidth="1"/>
  </cols>
  <sheetData>
    <row r="2" spans="2:6" x14ac:dyDescent="0.2">
      <c r="B2" s="4" t="s">
        <v>178</v>
      </c>
      <c r="C2" s="67">
        <v>46265</v>
      </c>
    </row>
    <row r="3" spans="2:6" x14ac:dyDescent="0.2">
      <c r="D3" s="4" t="s">
        <v>1</v>
      </c>
    </row>
    <row r="4" spans="2:6" x14ac:dyDescent="0.2">
      <c r="B4" s="4" t="s">
        <v>179</v>
      </c>
      <c r="C4" s="109" t="s">
        <v>538</v>
      </c>
    </row>
    <row r="7" spans="2:6" x14ac:dyDescent="0.2">
      <c r="B7" s="49" t="s">
        <v>269</v>
      </c>
    </row>
    <row r="9" spans="2:6" x14ac:dyDescent="0.2">
      <c r="B9" s="4" t="s">
        <v>156</v>
      </c>
      <c r="C9" s="4" t="s">
        <v>182</v>
      </c>
    </row>
    <row r="11" spans="2:6" x14ac:dyDescent="0.2">
      <c r="B11" s="4" t="s">
        <v>183</v>
      </c>
      <c r="C11" s="4" t="s">
        <v>184</v>
      </c>
    </row>
    <row r="14" spans="2:6" x14ac:dyDescent="0.2">
      <c r="B14" s="4" t="s">
        <v>125</v>
      </c>
      <c r="C14" s="49" t="s">
        <v>364</v>
      </c>
    </row>
    <row r="15" spans="2:6" x14ac:dyDescent="0.2">
      <c r="E15" s="4" t="s">
        <v>1</v>
      </c>
      <c r="F15" s="4" t="s">
        <v>1</v>
      </c>
    </row>
    <row r="17" spans="2:3" x14ac:dyDescent="0.2">
      <c r="B17" t="s">
        <v>388</v>
      </c>
      <c r="C17" s="4"/>
    </row>
    <row r="19" spans="2:3" x14ac:dyDescent="0.2">
      <c r="B19" s="4" t="s">
        <v>488</v>
      </c>
      <c r="C19" s="4" t="s">
        <v>489</v>
      </c>
    </row>
    <row r="21" spans="2:3" x14ac:dyDescent="0.2">
      <c r="B21" s="4" t="s">
        <v>490</v>
      </c>
      <c r="C21" s="4" t="s">
        <v>489</v>
      </c>
    </row>
    <row r="23" spans="2:3" x14ac:dyDescent="0.2">
      <c r="B23" t="s">
        <v>599</v>
      </c>
      <c r="C23" t="s">
        <v>182</v>
      </c>
    </row>
    <row r="24" spans="2:3" x14ac:dyDescent="0.2">
      <c r="B24" s="4" t="s">
        <v>1</v>
      </c>
      <c r="C24" t="s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9477-3DD5-413B-8B9E-37DA8C23500B}">
  <sheetPr codeName="Ark4">
    <tabColor rgb="FFFF0000"/>
    <pageSetUpPr fitToPage="1"/>
  </sheetPr>
  <dimension ref="B2:L39"/>
  <sheetViews>
    <sheetView zoomScale="84" zoomScaleNormal="84" workbookViewId="0">
      <selection activeCell="L45" sqref="L45"/>
    </sheetView>
  </sheetViews>
  <sheetFormatPr baseColWidth="10" defaultRowHeight="12.75" x14ac:dyDescent="0.2"/>
  <sheetData>
    <row r="2" spans="2:11" ht="20.25" x14ac:dyDescent="0.3">
      <c r="B2" s="10" t="s">
        <v>22</v>
      </c>
    </row>
    <row r="4" spans="2:11" x14ac:dyDescent="0.2">
      <c r="B4" s="1" t="s">
        <v>0</v>
      </c>
      <c r="C4" s="1" t="s">
        <v>335</v>
      </c>
      <c r="F4" s="1" t="s">
        <v>19</v>
      </c>
      <c r="G4" s="12" t="s">
        <v>30</v>
      </c>
      <c r="H4" s="13"/>
    </row>
    <row r="5" spans="2:11" x14ac:dyDescent="0.2">
      <c r="B5" s="1" t="s">
        <v>18</v>
      </c>
      <c r="C5" s="4">
        <v>32494</v>
      </c>
      <c r="D5" s="4" t="s">
        <v>1</v>
      </c>
      <c r="F5" s="1"/>
      <c r="G5" s="1"/>
      <c r="H5" s="13"/>
    </row>
    <row r="6" spans="2:11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11" x14ac:dyDescent="0.2">
      <c r="B7" s="1"/>
    </row>
    <row r="8" spans="2:11" x14ac:dyDescent="0.2">
      <c r="B8" s="8" t="s">
        <v>7</v>
      </c>
    </row>
    <row r="9" spans="2:11" x14ac:dyDescent="0.2">
      <c r="B9" s="1" t="s">
        <v>8</v>
      </c>
      <c r="C9" s="4" t="s">
        <v>338</v>
      </c>
      <c r="F9" s="4" t="s">
        <v>148</v>
      </c>
      <c r="G9" s="61" t="s">
        <v>336</v>
      </c>
    </row>
    <row r="10" spans="2:11" x14ac:dyDescent="0.2">
      <c r="B10" s="1" t="s">
        <v>9</v>
      </c>
      <c r="C10" s="12">
        <v>90050</v>
      </c>
      <c r="G10" t="s">
        <v>337</v>
      </c>
    </row>
    <row r="11" spans="2:11" x14ac:dyDescent="0.2">
      <c r="B11" s="1"/>
      <c r="F11" s="4" t="s">
        <v>1</v>
      </c>
      <c r="G11" s="132" t="s">
        <v>522</v>
      </c>
      <c r="H11" s="132"/>
      <c r="I11" s="132"/>
      <c r="J11" s="132"/>
      <c r="K11" s="132"/>
    </row>
    <row r="12" spans="2:11" x14ac:dyDescent="0.2">
      <c r="B12" s="1" t="s">
        <v>16</v>
      </c>
      <c r="C12" s="11" t="s">
        <v>29</v>
      </c>
      <c r="F12" s="4" t="s">
        <v>150</v>
      </c>
      <c r="G12" s="40" t="s">
        <v>347</v>
      </c>
    </row>
    <row r="13" spans="2:11" x14ac:dyDescent="0.2">
      <c r="B13" s="1"/>
      <c r="F13" s="48"/>
      <c r="G13" s="4" t="s">
        <v>1</v>
      </c>
    </row>
    <row r="14" spans="2:11" x14ac:dyDescent="0.2">
      <c r="B14" s="1"/>
      <c r="C14" s="13"/>
      <c r="F14" s="4" t="s">
        <v>1</v>
      </c>
    </row>
    <row r="15" spans="2:11" x14ac:dyDescent="0.2">
      <c r="B15" s="1" t="s">
        <v>11</v>
      </c>
      <c r="C15" s="13" t="s">
        <v>39</v>
      </c>
      <c r="G15" s="4" t="s">
        <v>1</v>
      </c>
    </row>
    <row r="16" spans="2:11" x14ac:dyDescent="0.2">
      <c r="B16" s="1" t="s">
        <v>20</v>
      </c>
      <c r="C16" s="13" t="s">
        <v>1</v>
      </c>
    </row>
    <row r="17" spans="2:12" x14ac:dyDescent="0.2">
      <c r="B17" s="1"/>
      <c r="C17" s="13"/>
    </row>
    <row r="18" spans="2:12" x14ac:dyDescent="0.2">
      <c r="B18" s="1"/>
      <c r="C18" s="13"/>
      <c r="L18" t="s">
        <v>605</v>
      </c>
    </row>
    <row r="19" spans="2:12" x14ac:dyDescent="0.2">
      <c r="B19" s="1"/>
    </row>
    <row r="20" spans="2:12" x14ac:dyDescent="0.2">
      <c r="B20" s="8" t="s">
        <v>15</v>
      </c>
      <c r="C20" s="2"/>
      <c r="D20" s="4" t="s">
        <v>179</v>
      </c>
      <c r="E20" s="21" t="s">
        <v>12</v>
      </c>
      <c r="F20" s="21" t="s">
        <v>13</v>
      </c>
      <c r="G20" s="8"/>
      <c r="H20" s="16" t="s">
        <v>14</v>
      </c>
    </row>
    <row r="21" spans="2:12" x14ac:dyDescent="0.2">
      <c r="H21" s="17"/>
    </row>
    <row r="22" spans="2:12" x14ac:dyDescent="0.2">
      <c r="B22" s="49" t="s">
        <v>378</v>
      </c>
      <c r="C22" s="62"/>
      <c r="D22" t="str">
        <f>Felles!C4</f>
        <v>August</v>
      </c>
      <c r="E22">
        <v>1</v>
      </c>
      <c r="F22" s="17">
        <v>780</v>
      </c>
      <c r="G22" s="18"/>
      <c r="H22" s="17">
        <f>E22*F22</f>
        <v>780</v>
      </c>
    </row>
    <row r="23" spans="2:12" x14ac:dyDescent="0.2">
      <c r="B23" s="62" t="s">
        <v>379</v>
      </c>
      <c r="C23" s="62"/>
      <c r="D23" s="62"/>
      <c r="E23" s="62"/>
      <c r="F23" s="65"/>
      <c r="G23" s="66"/>
      <c r="H23" s="65"/>
    </row>
    <row r="24" spans="2:12" x14ac:dyDescent="0.2">
      <c r="B24" s="62" t="s">
        <v>382</v>
      </c>
      <c r="C24" s="62"/>
      <c r="D24" s="62"/>
      <c r="E24" s="62">
        <v>0</v>
      </c>
      <c r="F24" s="65">
        <f>F22/20</f>
        <v>39</v>
      </c>
      <c r="G24" s="66"/>
      <c r="H24" s="17">
        <f>E24*F24</f>
        <v>0</v>
      </c>
    </row>
    <row r="27" spans="2:12" x14ac:dyDescent="0.2">
      <c r="F27" s="17"/>
      <c r="G27" s="18"/>
      <c r="H27" s="17"/>
    </row>
    <row r="28" spans="2:12" x14ac:dyDescent="0.2">
      <c r="F28" s="17"/>
      <c r="G28" s="18"/>
      <c r="H28" s="17"/>
    </row>
    <row r="29" spans="2:12" x14ac:dyDescent="0.2">
      <c r="B29" s="33"/>
      <c r="F29" s="17"/>
      <c r="G29" s="18"/>
      <c r="H29" s="17"/>
      <c r="I29" s="4" t="s">
        <v>1</v>
      </c>
    </row>
    <row r="30" spans="2:12" x14ac:dyDescent="0.2">
      <c r="F30" s="17"/>
      <c r="G30" s="18"/>
      <c r="H30" s="17"/>
    </row>
    <row r="31" spans="2:12" x14ac:dyDescent="0.2">
      <c r="B31" t="s">
        <v>1</v>
      </c>
      <c r="F31" s="17"/>
      <c r="G31" s="18"/>
      <c r="H31" s="17"/>
    </row>
    <row r="32" spans="2:12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SUM(H22:H38)</f>
        <v>780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14E9-19F9-436A-BF6C-8F99E4AE030E}">
  <sheetPr codeName="Ark6">
    <pageSetUpPr fitToPage="1"/>
  </sheetPr>
  <dimension ref="B2:H39"/>
  <sheetViews>
    <sheetView workbookViewId="0">
      <selection activeCell="H26" sqref="H26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147</v>
      </c>
      <c r="F4" s="1" t="s">
        <v>19</v>
      </c>
      <c r="G4" s="12" t="s">
        <v>30</v>
      </c>
      <c r="H4" s="13"/>
    </row>
    <row r="5" spans="2:8" x14ac:dyDescent="0.2">
      <c r="B5" s="1" t="s">
        <v>18</v>
      </c>
      <c r="C5" s="4">
        <v>32448</v>
      </c>
      <c r="D5" s="4" t="s">
        <v>1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4" t="s">
        <v>1</v>
      </c>
      <c r="F9" s="4" t="s">
        <v>148</v>
      </c>
      <c r="G9" s="61" t="s">
        <v>149</v>
      </c>
    </row>
    <row r="10" spans="2:8" x14ac:dyDescent="0.2">
      <c r="B10" s="1" t="s">
        <v>9</v>
      </c>
      <c r="C10" s="11" t="s">
        <v>1</v>
      </c>
      <c r="G10" t="s">
        <v>419</v>
      </c>
    </row>
    <row r="11" spans="2:8" x14ac:dyDescent="0.2">
      <c r="B11" s="1"/>
      <c r="F11" s="4" t="s">
        <v>1</v>
      </c>
    </row>
    <row r="12" spans="2:8" x14ac:dyDescent="0.2">
      <c r="B12" s="1" t="s">
        <v>16</v>
      </c>
      <c r="C12" s="11" t="s">
        <v>29</v>
      </c>
      <c r="F12" s="4" t="s">
        <v>150</v>
      </c>
      <c r="G12" s="4" t="s">
        <v>132</v>
      </c>
    </row>
    <row r="13" spans="2:8" x14ac:dyDescent="0.2">
      <c r="B13" s="1"/>
      <c r="F13" s="48"/>
      <c r="G13" s="4" t="s">
        <v>161</v>
      </c>
    </row>
    <row r="14" spans="2:8" x14ac:dyDescent="0.2">
      <c r="B14" s="1"/>
      <c r="C14" s="13"/>
      <c r="G14" s="4" t="s">
        <v>451</v>
      </c>
    </row>
    <row r="15" spans="2:8" x14ac:dyDescent="0.2">
      <c r="B15" s="1" t="s">
        <v>11</v>
      </c>
      <c r="C15" s="13" t="s">
        <v>39</v>
      </c>
      <c r="G15" s="4" t="s">
        <v>450</v>
      </c>
      <c r="H15" t="s">
        <v>452</v>
      </c>
    </row>
    <row r="16" spans="2:8" x14ac:dyDescent="0.2">
      <c r="B16" s="1" t="s">
        <v>20</v>
      </c>
      <c r="C16" s="13" t="s">
        <v>1</v>
      </c>
    </row>
    <row r="17" spans="2:8" x14ac:dyDescent="0.2">
      <c r="B17" s="1"/>
      <c r="C17" s="13"/>
    </row>
    <row r="18" spans="2:8" x14ac:dyDescent="0.2">
      <c r="B18" s="1"/>
      <c r="C18" s="13"/>
    </row>
    <row r="19" spans="2:8" x14ac:dyDescent="0.2">
      <c r="B19" s="1"/>
    </row>
    <row r="20" spans="2:8" x14ac:dyDescent="0.2">
      <c r="B20" s="8" t="s">
        <v>15</v>
      </c>
      <c r="C20" s="2"/>
      <c r="D20" s="4" t="s">
        <v>179</v>
      </c>
      <c r="E20" s="21" t="s">
        <v>12</v>
      </c>
      <c r="F20" s="21" t="s">
        <v>13</v>
      </c>
      <c r="G20" s="8"/>
      <c r="H20" s="16" t="s">
        <v>14</v>
      </c>
    </row>
    <row r="21" spans="2:8" x14ac:dyDescent="0.2">
      <c r="H21" s="17"/>
    </row>
    <row r="22" spans="2:8" x14ac:dyDescent="0.2">
      <c r="B22" s="49" t="s">
        <v>54</v>
      </c>
      <c r="C22" s="62"/>
      <c r="D22" s="108" t="s">
        <v>859</v>
      </c>
      <c r="E22">
        <v>1</v>
      </c>
      <c r="F22" s="17">
        <v>920</v>
      </c>
      <c r="G22" s="18"/>
      <c r="H22" s="17">
        <f>E22*F22</f>
        <v>920</v>
      </c>
    </row>
    <row r="23" spans="2:8" x14ac:dyDescent="0.2">
      <c r="B23" s="62" t="s">
        <v>453</v>
      </c>
      <c r="C23" s="62"/>
      <c r="D23" s="62"/>
      <c r="E23" s="62">
        <v>0</v>
      </c>
      <c r="F23" s="65">
        <v>46</v>
      </c>
      <c r="G23" s="66"/>
      <c r="H23" s="17">
        <f>E23*F23</f>
        <v>0</v>
      </c>
    </row>
    <row r="24" spans="2:8" x14ac:dyDescent="0.2">
      <c r="B24" s="62"/>
      <c r="C24" s="62"/>
      <c r="D24" s="62"/>
      <c r="E24" s="62"/>
      <c r="F24" s="65"/>
      <c r="G24" s="66"/>
      <c r="H24" s="65"/>
    </row>
    <row r="27" spans="2:8" x14ac:dyDescent="0.2">
      <c r="F27" s="17"/>
      <c r="G27" s="18"/>
      <c r="H27" s="17"/>
    </row>
    <row r="28" spans="2:8" x14ac:dyDescent="0.2">
      <c r="F28" s="17"/>
      <c r="G28" s="18"/>
      <c r="H28" s="17"/>
    </row>
    <row r="29" spans="2:8" x14ac:dyDescent="0.2">
      <c r="B29" s="33"/>
      <c r="F29" s="17"/>
      <c r="G29" s="18"/>
      <c r="H29" s="17"/>
    </row>
    <row r="30" spans="2:8" x14ac:dyDescent="0.2">
      <c r="F30" s="17"/>
      <c r="G30" s="18"/>
      <c r="H30" s="17"/>
    </row>
    <row r="31" spans="2:8" x14ac:dyDescent="0.2">
      <c r="B31" t="s">
        <v>1</v>
      </c>
      <c r="F31" s="17"/>
      <c r="G31" s="18"/>
      <c r="H31" s="17"/>
    </row>
    <row r="32" spans="2:8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SUM(H22:H38)</f>
        <v>920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5FE7-636E-4822-95B6-D91C91AB2A0A}">
  <sheetPr codeName="Ark7">
    <pageSetUpPr fitToPage="1"/>
  </sheetPr>
  <dimension ref="B2:N48"/>
  <sheetViews>
    <sheetView topLeftCell="C1" workbookViewId="0">
      <selection activeCell="K30" sqref="K30"/>
    </sheetView>
  </sheetViews>
  <sheetFormatPr baseColWidth="10" defaultRowHeight="12.75" x14ac:dyDescent="0.2"/>
  <sheetData>
    <row r="2" spans="2:14" ht="20.25" x14ac:dyDescent="0.3">
      <c r="B2" s="10" t="s">
        <v>22</v>
      </c>
    </row>
    <row r="4" spans="2:14" x14ac:dyDescent="0.2">
      <c r="B4" s="1" t="s">
        <v>0</v>
      </c>
      <c r="C4" s="1" t="s">
        <v>158</v>
      </c>
      <c r="F4" s="1" t="s">
        <v>19</v>
      </c>
      <c r="G4" s="12" t="s">
        <v>30</v>
      </c>
      <c r="H4" s="13"/>
    </row>
    <row r="5" spans="2:14" x14ac:dyDescent="0.2">
      <c r="B5" s="1" t="s">
        <v>18</v>
      </c>
      <c r="C5" s="4" t="s">
        <v>1</v>
      </c>
      <c r="D5" s="4" t="s">
        <v>1</v>
      </c>
      <c r="F5" s="1"/>
      <c r="G5" s="1"/>
      <c r="H5" s="13"/>
    </row>
    <row r="6" spans="2:14" x14ac:dyDescent="0.2">
      <c r="B6" s="1"/>
      <c r="C6" s="14">
        <v>985335249</v>
      </c>
      <c r="F6" s="1" t="s">
        <v>10</v>
      </c>
      <c r="G6" s="15">
        <f>Felles!C2</f>
        <v>46265</v>
      </c>
      <c r="H6" s="13"/>
    </row>
    <row r="7" spans="2:14" x14ac:dyDescent="0.2">
      <c r="B7" s="1"/>
    </row>
    <row r="8" spans="2:14" x14ac:dyDescent="0.2">
      <c r="B8" s="8" t="s">
        <v>7</v>
      </c>
    </row>
    <row r="9" spans="2:14" x14ac:dyDescent="0.2">
      <c r="B9" s="1" t="s">
        <v>8</v>
      </c>
      <c r="C9" s="4" t="s">
        <v>1</v>
      </c>
      <c r="F9" s="4" t="s">
        <v>148</v>
      </c>
      <c r="G9" s="61" t="s">
        <v>159</v>
      </c>
    </row>
    <row r="10" spans="2:14" x14ac:dyDescent="0.2">
      <c r="B10" s="1" t="s">
        <v>9</v>
      </c>
      <c r="C10" s="11" t="s">
        <v>1</v>
      </c>
    </row>
    <row r="11" spans="2:14" x14ac:dyDescent="0.2">
      <c r="B11" s="1"/>
      <c r="F11" s="4" t="s">
        <v>1</v>
      </c>
    </row>
    <row r="12" spans="2:14" ht="15" x14ac:dyDescent="0.25">
      <c r="B12" s="1" t="s">
        <v>16</v>
      </c>
      <c r="C12" s="11" t="s">
        <v>29</v>
      </c>
      <c r="F12" s="4" t="s">
        <v>150</v>
      </c>
      <c r="G12" s="4" t="s">
        <v>160</v>
      </c>
      <c r="J12" s="86"/>
      <c r="K12" s="86"/>
      <c r="M12" s="86"/>
      <c r="N12" s="162">
        <v>2026</v>
      </c>
    </row>
    <row r="13" spans="2:14" ht="15" x14ac:dyDescent="0.25">
      <c r="B13" s="1"/>
      <c r="F13" s="48"/>
      <c r="I13" s="163" t="s">
        <v>785</v>
      </c>
      <c r="J13" s="163" t="s">
        <v>786</v>
      </c>
      <c r="K13" s="163"/>
      <c r="L13" s="164"/>
      <c r="M13" s="165"/>
      <c r="N13" s="166" t="s">
        <v>787</v>
      </c>
    </row>
    <row r="14" spans="2:14" ht="15" x14ac:dyDescent="0.25">
      <c r="B14" s="1"/>
      <c r="C14" s="13"/>
      <c r="I14" s="163"/>
      <c r="J14" s="163"/>
      <c r="K14" s="163"/>
      <c r="L14" s="164"/>
      <c r="M14" s="165"/>
      <c r="N14" s="166"/>
    </row>
    <row r="15" spans="2:14" ht="15" x14ac:dyDescent="0.25">
      <c r="B15" s="1" t="s">
        <v>11</v>
      </c>
      <c r="C15" s="13" t="s">
        <v>39</v>
      </c>
      <c r="I15" s="86">
        <v>1</v>
      </c>
      <c r="J15" s="86">
        <v>99</v>
      </c>
      <c r="K15" s="86"/>
      <c r="M15" s="167"/>
      <c r="N15" s="168">
        <v>2960</v>
      </c>
    </row>
    <row r="16" spans="2:14" ht="15" x14ac:dyDescent="0.25">
      <c r="B16" s="1" t="s">
        <v>20</v>
      </c>
      <c r="C16" s="13" t="s">
        <v>1</v>
      </c>
      <c r="I16">
        <v>100</v>
      </c>
      <c r="J16">
        <v>149</v>
      </c>
      <c r="M16" s="167"/>
      <c r="N16" s="168">
        <v>3580</v>
      </c>
    </row>
    <row r="17" spans="2:14" ht="15" x14ac:dyDescent="0.25">
      <c r="B17" s="1"/>
      <c r="C17" s="13"/>
      <c r="I17">
        <v>150</v>
      </c>
      <c r="J17">
        <v>199</v>
      </c>
      <c r="M17" s="167"/>
      <c r="N17" s="168">
        <v>4090</v>
      </c>
    </row>
    <row r="18" spans="2:14" ht="15" x14ac:dyDescent="0.25">
      <c r="B18" s="1"/>
      <c r="C18" s="13"/>
      <c r="I18">
        <v>200</v>
      </c>
      <c r="J18">
        <v>249</v>
      </c>
      <c r="M18" s="167"/>
      <c r="N18" s="168">
        <v>4670</v>
      </c>
    </row>
    <row r="19" spans="2:14" ht="15" x14ac:dyDescent="0.25">
      <c r="B19" s="1"/>
      <c r="I19">
        <v>250</v>
      </c>
      <c r="J19">
        <v>299</v>
      </c>
      <c r="K19" s="86"/>
      <c r="M19" s="167"/>
      <c r="N19" s="168">
        <v>5760</v>
      </c>
    </row>
    <row r="20" spans="2:14" ht="15" x14ac:dyDescent="0.25">
      <c r="B20" s="8" t="s">
        <v>15</v>
      </c>
      <c r="C20" s="2"/>
      <c r="D20" s="4" t="s">
        <v>179</v>
      </c>
      <c r="E20" s="21" t="s">
        <v>12</v>
      </c>
      <c r="F20" s="21" t="s">
        <v>13</v>
      </c>
      <c r="G20" s="8"/>
      <c r="H20" s="16" t="s">
        <v>14</v>
      </c>
      <c r="I20">
        <v>300</v>
      </c>
      <c r="J20">
        <v>349</v>
      </c>
      <c r="M20" s="167"/>
      <c r="N20" s="168">
        <v>6830</v>
      </c>
    </row>
    <row r="21" spans="2:14" ht="15" x14ac:dyDescent="0.25">
      <c r="H21" s="17"/>
      <c r="I21">
        <v>350</v>
      </c>
      <c r="J21">
        <v>399</v>
      </c>
      <c r="M21" s="167"/>
      <c r="N21" s="168">
        <v>7920</v>
      </c>
    </row>
    <row r="22" spans="2:14" ht="15" x14ac:dyDescent="0.25">
      <c r="B22" s="49" t="s">
        <v>171</v>
      </c>
      <c r="D22" s="108" t="s">
        <v>418</v>
      </c>
      <c r="E22">
        <v>1</v>
      </c>
      <c r="F22" s="17">
        <v>2960</v>
      </c>
      <c r="G22" s="18"/>
      <c r="H22" s="17">
        <f>E22*F22</f>
        <v>2960</v>
      </c>
      <c r="I22">
        <v>400</v>
      </c>
      <c r="J22">
        <v>449</v>
      </c>
      <c r="M22" s="167"/>
      <c r="N22" s="168">
        <v>8980</v>
      </c>
    </row>
    <row r="23" spans="2:14" ht="15" x14ac:dyDescent="0.25">
      <c r="B23" t="s">
        <v>1</v>
      </c>
      <c r="E23" t="s">
        <v>1</v>
      </c>
      <c r="F23" s="17" t="s">
        <v>1</v>
      </c>
      <c r="G23" s="18"/>
      <c r="H23" s="17"/>
      <c r="I23">
        <v>450</v>
      </c>
      <c r="J23">
        <v>499</v>
      </c>
      <c r="M23" s="167"/>
      <c r="N23" s="168">
        <v>10080</v>
      </c>
    </row>
    <row r="24" spans="2:14" ht="15" x14ac:dyDescent="0.25">
      <c r="F24" s="17" t="s">
        <v>1</v>
      </c>
      <c r="G24" s="18"/>
      <c r="H24" s="17"/>
      <c r="I24">
        <v>500</v>
      </c>
      <c r="J24">
        <v>549</v>
      </c>
      <c r="M24" s="167"/>
      <c r="N24" s="168">
        <v>11150</v>
      </c>
    </row>
    <row r="25" spans="2:14" ht="15" x14ac:dyDescent="0.25">
      <c r="F25" s="17"/>
      <c r="G25" s="18"/>
      <c r="H25" s="79"/>
      <c r="I25">
        <v>550</v>
      </c>
      <c r="J25">
        <v>599</v>
      </c>
      <c r="M25" s="167"/>
      <c r="N25" s="168">
        <v>12200</v>
      </c>
    </row>
    <row r="26" spans="2:14" ht="15" x14ac:dyDescent="0.25">
      <c r="F26" s="17"/>
      <c r="G26" s="18"/>
      <c r="H26" s="17"/>
      <c r="I26">
        <v>600</v>
      </c>
      <c r="J26">
        <v>649</v>
      </c>
      <c r="M26" s="167"/>
      <c r="N26" s="168">
        <v>13260</v>
      </c>
    </row>
    <row r="27" spans="2:14" ht="15" x14ac:dyDescent="0.25">
      <c r="F27" s="17"/>
      <c r="G27" s="18"/>
      <c r="H27" s="17"/>
      <c r="I27">
        <v>650</v>
      </c>
      <c r="J27">
        <v>699</v>
      </c>
      <c r="M27" s="167"/>
      <c r="N27" s="168">
        <v>14360</v>
      </c>
    </row>
    <row r="28" spans="2:14" ht="15" x14ac:dyDescent="0.25">
      <c r="F28" s="17"/>
      <c r="G28" s="18"/>
      <c r="H28" s="17"/>
      <c r="I28">
        <v>700</v>
      </c>
      <c r="J28">
        <v>749</v>
      </c>
      <c r="M28" s="167"/>
      <c r="N28" s="168">
        <v>15430</v>
      </c>
    </row>
    <row r="29" spans="2:14" ht="15" x14ac:dyDescent="0.25">
      <c r="B29" s="33"/>
      <c r="F29" s="17"/>
      <c r="G29" s="18"/>
      <c r="H29" s="17"/>
      <c r="I29">
        <v>750</v>
      </c>
      <c r="J29">
        <v>799</v>
      </c>
      <c r="M29" s="167"/>
      <c r="N29" s="168">
        <v>16530</v>
      </c>
    </row>
    <row r="30" spans="2:14" ht="15" x14ac:dyDescent="0.25">
      <c r="F30" s="17"/>
      <c r="G30" s="18"/>
      <c r="H30" s="17"/>
      <c r="I30">
        <v>800</v>
      </c>
      <c r="J30">
        <v>849</v>
      </c>
      <c r="M30" s="167"/>
      <c r="N30" s="168">
        <v>17590</v>
      </c>
    </row>
    <row r="31" spans="2:14" ht="15" x14ac:dyDescent="0.25">
      <c r="B31" t="s">
        <v>1</v>
      </c>
      <c r="F31" s="17"/>
      <c r="G31" s="18"/>
      <c r="H31" s="17"/>
      <c r="I31">
        <v>850</v>
      </c>
      <c r="J31">
        <v>899</v>
      </c>
      <c r="M31" s="167"/>
      <c r="N31" s="168">
        <v>18680</v>
      </c>
    </row>
    <row r="32" spans="2:14" ht="15" x14ac:dyDescent="0.25">
      <c r="B32" s="8" t="s">
        <v>21</v>
      </c>
      <c r="C32" t="s">
        <v>1</v>
      </c>
      <c r="F32" s="17"/>
      <c r="G32" s="18"/>
      <c r="H32" s="17"/>
      <c r="I32">
        <v>900</v>
      </c>
      <c r="J32">
        <v>949</v>
      </c>
      <c r="M32" s="167"/>
      <c r="N32" s="168">
        <v>19750</v>
      </c>
    </row>
    <row r="33" spans="2:14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I33">
        <v>950</v>
      </c>
      <c r="J33">
        <v>999</v>
      </c>
      <c r="M33" s="167"/>
      <c r="N33" s="168">
        <v>20820</v>
      </c>
    </row>
    <row r="34" spans="2:14" ht="15" x14ac:dyDescent="0.25">
      <c r="B34" s="11"/>
      <c r="C34" s="11"/>
      <c r="D34" s="11"/>
      <c r="E34" s="11"/>
      <c r="F34" s="22"/>
      <c r="G34" s="22"/>
      <c r="H34" s="17"/>
      <c r="I34">
        <v>1000</v>
      </c>
      <c r="J34">
        <v>1099</v>
      </c>
      <c r="M34" s="167"/>
      <c r="N34" s="168">
        <v>23000</v>
      </c>
    </row>
    <row r="35" spans="2:14" ht="15" x14ac:dyDescent="0.25">
      <c r="B35" s="11"/>
      <c r="C35" s="11"/>
      <c r="D35" s="11"/>
      <c r="E35" s="11"/>
      <c r="F35" s="22"/>
      <c r="G35" s="22"/>
      <c r="H35" s="17"/>
      <c r="I35">
        <v>1100</v>
      </c>
      <c r="J35">
        <v>1199</v>
      </c>
      <c r="M35" s="167"/>
      <c r="N35" s="168">
        <v>24100</v>
      </c>
    </row>
    <row r="36" spans="2:14" ht="15" x14ac:dyDescent="0.25">
      <c r="F36" s="17"/>
      <c r="G36" s="17"/>
      <c r="H36" s="17"/>
      <c r="I36">
        <v>1200</v>
      </c>
      <c r="J36">
        <v>1299</v>
      </c>
      <c r="M36" s="167"/>
      <c r="N36" s="168">
        <v>26260</v>
      </c>
    </row>
    <row r="37" spans="2:14" ht="15" x14ac:dyDescent="0.25">
      <c r="F37" s="17"/>
      <c r="G37" s="17"/>
      <c r="H37" s="17"/>
      <c r="I37">
        <v>1300</v>
      </c>
      <c r="J37">
        <v>1399</v>
      </c>
      <c r="M37" s="167"/>
      <c r="N37" s="168">
        <v>28400</v>
      </c>
    </row>
    <row r="38" spans="2:14" ht="15" x14ac:dyDescent="0.25">
      <c r="F38" s="17"/>
      <c r="G38" s="17"/>
      <c r="H38" s="17"/>
      <c r="I38">
        <v>1400</v>
      </c>
      <c r="J38">
        <v>1499</v>
      </c>
      <c r="M38" s="167"/>
      <c r="N38" s="168">
        <v>30240</v>
      </c>
    </row>
    <row r="39" spans="2:14" ht="15.75" x14ac:dyDescent="0.25">
      <c r="B39" s="3" t="s">
        <v>23</v>
      </c>
      <c r="C39" s="3"/>
      <c r="D39" s="3"/>
      <c r="E39" s="3"/>
      <c r="F39" s="19"/>
      <c r="G39" s="19"/>
      <c r="H39" s="19">
        <f>SUM(H22:H38)</f>
        <v>2960</v>
      </c>
      <c r="I39">
        <v>1500</v>
      </c>
      <c r="J39">
        <v>1599</v>
      </c>
      <c r="M39" s="167"/>
      <c r="N39" s="168">
        <v>32710</v>
      </c>
    </row>
    <row r="40" spans="2:14" ht="15" x14ac:dyDescent="0.25">
      <c r="I40">
        <v>1600</v>
      </c>
      <c r="J40">
        <v>1699</v>
      </c>
      <c r="M40" s="167"/>
      <c r="N40" s="168">
        <v>34890</v>
      </c>
    </row>
    <row r="41" spans="2:14" ht="15" x14ac:dyDescent="0.25">
      <c r="I41">
        <v>1700</v>
      </c>
      <c r="J41">
        <v>1799</v>
      </c>
      <c r="M41" s="167"/>
      <c r="N41" s="168">
        <v>37060</v>
      </c>
    </row>
    <row r="42" spans="2:14" ht="15" x14ac:dyDescent="0.25">
      <c r="I42">
        <v>1800</v>
      </c>
      <c r="J42">
        <v>1899</v>
      </c>
      <c r="M42" s="167"/>
      <c r="N42" s="168">
        <v>39200</v>
      </c>
    </row>
    <row r="43" spans="2:14" ht="15" x14ac:dyDescent="0.25">
      <c r="I43">
        <v>1900</v>
      </c>
      <c r="J43">
        <v>1999</v>
      </c>
      <c r="M43" s="167"/>
      <c r="N43" s="168">
        <v>41380</v>
      </c>
    </row>
    <row r="44" spans="2:14" ht="15" x14ac:dyDescent="0.25">
      <c r="I44">
        <v>2000</v>
      </c>
      <c r="J44">
        <v>2099</v>
      </c>
      <c r="M44" s="167"/>
      <c r="N44" s="168">
        <v>43500</v>
      </c>
    </row>
    <row r="45" spans="2:14" ht="15" x14ac:dyDescent="0.25">
      <c r="I45">
        <v>2100</v>
      </c>
      <c r="J45">
        <v>2199</v>
      </c>
      <c r="M45" s="167"/>
      <c r="N45" s="168">
        <v>45650</v>
      </c>
    </row>
    <row r="46" spans="2:14" ht="15" x14ac:dyDescent="0.25">
      <c r="I46">
        <v>2200</v>
      </c>
      <c r="J46">
        <v>2299</v>
      </c>
      <c r="M46" s="167"/>
      <c r="N46" s="168">
        <v>47850</v>
      </c>
    </row>
    <row r="47" spans="2:14" ht="15" x14ac:dyDescent="0.25">
      <c r="I47">
        <v>2300</v>
      </c>
      <c r="J47">
        <v>2399</v>
      </c>
      <c r="M47" s="167"/>
      <c r="N47" s="168">
        <v>49980</v>
      </c>
    </row>
    <row r="48" spans="2:14" ht="15" x14ac:dyDescent="0.25">
      <c r="I48">
        <v>2400</v>
      </c>
      <c r="J48">
        <v>2499</v>
      </c>
      <c r="M48" s="167"/>
      <c r="N48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D2A5-817F-4DC8-8E32-EEB768E2C794}">
  <sheetPr codeName="Ark8">
    <pageSetUpPr fitToPage="1"/>
  </sheetPr>
  <dimension ref="B2:N48"/>
  <sheetViews>
    <sheetView workbookViewId="0">
      <selection activeCell="N32" sqref="N32"/>
    </sheetView>
  </sheetViews>
  <sheetFormatPr baseColWidth="10" defaultRowHeight="12.75" x14ac:dyDescent="0.2"/>
  <sheetData>
    <row r="2" spans="2:14" ht="20.25" x14ac:dyDescent="0.3">
      <c r="B2" s="10" t="s">
        <v>22</v>
      </c>
    </row>
    <row r="4" spans="2:14" x14ac:dyDescent="0.2">
      <c r="B4" s="1" t="s">
        <v>0</v>
      </c>
      <c r="C4" s="53" t="s">
        <v>164</v>
      </c>
      <c r="F4" s="1" t="s">
        <v>19</v>
      </c>
      <c r="G4" s="12" t="s">
        <v>30</v>
      </c>
      <c r="H4" s="13"/>
    </row>
    <row r="5" spans="2:14" x14ac:dyDescent="0.2">
      <c r="C5" s="49" t="s">
        <v>233</v>
      </c>
      <c r="D5" s="4" t="s">
        <v>1</v>
      </c>
      <c r="F5" s="1"/>
      <c r="G5" s="1"/>
      <c r="H5" s="13"/>
    </row>
    <row r="6" spans="2:14" x14ac:dyDescent="0.2">
      <c r="B6" s="1" t="s">
        <v>18</v>
      </c>
      <c r="C6" s="14">
        <v>32518</v>
      </c>
      <c r="F6" s="1" t="s">
        <v>10</v>
      </c>
      <c r="G6" s="15">
        <f>Felles!C2</f>
        <v>46265</v>
      </c>
      <c r="H6" s="13"/>
    </row>
    <row r="7" spans="2:14" x14ac:dyDescent="0.2">
      <c r="B7" s="1"/>
    </row>
    <row r="8" spans="2:14" x14ac:dyDescent="0.2">
      <c r="B8" s="8" t="s">
        <v>7</v>
      </c>
    </row>
    <row r="9" spans="2:14" x14ac:dyDescent="0.2">
      <c r="B9" s="1" t="s">
        <v>8</v>
      </c>
      <c r="C9" s="4" t="s">
        <v>1</v>
      </c>
      <c r="F9" s="4" t="s">
        <v>148</v>
      </c>
      <c r="G9" s="61" t="s">
        <v>165</v>
      </c>
    </row>
    <row r="10" spans="2:14" x14ac:dyDescent="0.2">
      <c r="B10" s="1" t="s">
        <v>9</v>
      </c>
      <c r="C10" s="11" t="s">
        <v>1</v>
      </c>
      <c r="F10" t="s">
        <v>258</v>
      </c>
      <c r="G10" s="80">
        <v>42948</v>
      </c>
    </row>
    <row r="11" spans="2:14" x14ac:dyDescent="0.2">
      <c r="B11" s="1"/>
      <c r="F11" s="4" t="s">
        <v>1</v>
      </c>
    </row>
    <row r="12" spans="2:14" ht="15" x14ac:dyDescent="0.25">
      <c r="B12" s="1" t="s">
        <v>16</v>
      </c>
      <c r="C12" s="11" t="s">
        <v>29</v>
      </c>
      <c r="F12" s="4" t="s">
        <v>150</v>
      </c>
      <c r="G12" s="4" t="s">
        <v>160</v>
      </c>
      <c r="J12" s="86"/>
      <c r="K12" s="86"/>
      <c r="M12" s="86"/>
      <c r="N12" s="162">
        <v>2026</v>
      </c>
    </row>
    <row r="13" spans="2:14" ht="15" x14ac:dyDescent="0.25">
      <c r="B13" s="1"/>
      <c r="F13" s="48"/>
      <c r="I13" s="163" t="s">
        <v>785</v>
      </c>
      <c r="J13" s="163" t="s">
        <v>786</v>
      </c>
      <c r="K13" s="163"/>
      <c r="L13" s="164"/>
      <c r="M13" s="165"/>
      <c r="N13" s="166" t="s">
        <v>787</v>
      </c>
    </row>
    <row r="14" spans="2:14" ht="15" x14ac:dyDescent="0.25">
      <c r="B14" s="1"/>
      <c r="C14" s="13"/>
      <c r="I14" s="163"/>
      <c r="J14" s="163"/>
      <c r="K14" s="163"/>
      <c r="L14" s="164"/>
      <c r="M14" s="165"/>
      <c r="N14" s="166"/>
    </row>
    <row r="15" spans="2:14" ht="15" x14ac:dyDescent="0.25">
      <c r="B15" s="1" t="s">
        <v>11</v>
      </c>
      <c r="C15" s="13" t="s">
        <v>39</v>
      </c>
      <c r="F15" t="s">
        <v>259</v>
      </c>
      <c r="I15" s="86">
        <v>1</v>
      </c>
      <c r="J15" s="86">
        <v>99</v>
      </c>
      <c r="K15" s="86"/>
      <c r="M15" s="167"/>
      <c r="N15" s="168">
        <v>2960</v>
      </c>
    </row>
    <row r="16" spans="2:14" ht="15" x14ac:dyDescent="0.25">
      <c r="B16" s="1" t="s">
        <v>20</v>
      </c>
      <c r="C16" s="13" t="s">
        <v>1</v>
      </c>
      <c r="I16">
        <v>100</v>
      </c>
      <c r="J16">
        <v>149</v>
      </c>
      <c r="M16" s="167"/>
      <c r="N16" s="168">
        <v>3580</v>
      </c>
    </row>
    <row r="17" spans="2:14" ht="15" x14ac:dyDescent="0.25">
      <c r="B17" s="1"/>
      <c r="C17" s="13"/>
      <c r="I17">
        <v>150</v>
      </c>
      <c r="J17">
        <v>199</v>
      </c>
      <c r="M17" s="167"/>
      <c r="N17" s="168">
        <v>4090</v>
      </c>
    </row>
    <row r="18" spans="2:14" ht="15" x14ac:dyDescent="0.25">
      <c r="B18" s="1"/>
      <c r="C18" s="13"/>
      <c r="I18">
        <v>200</v>
      </c>
      <c r="J18">
        <v>249</v>
      </c>
      <c r="M18" s="167"/>
      <c r="N18" s="168">
        <v>4670</v>
      </c>
    </row>
    <row r="19" spans="2:14" ht="15" x14ac:dyDescent="0.25">
      <c r="B19" s="1"/>
      <c r="I19">
        <v>250</v>
      </c>
      <c r="J19">
        <v>299</v>
      </c>
      <c r="K19" s="86"/>
      <c r="M19" s="167"/>
      <c r="N19" s="168">
        <v>5760</v>
      </c>
    </row>
    <row r="20" spans="2:14" ht="15" x14ac:dyDescent="0.25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  <c r="I20">
        <v>300</v>
      </c>
      <c r="J20">
        <v>349</v>
      </c>
      <c r="M20" s="167"/>
      <c r="N20" s="168">
        <v>6830</v>
      </c>
    </row>
    <row r="21" spans="2:14" ht="15" x14ac:dyDescent="0.25">
      <c r="H21" s="17"/>
      <c r="I21">
        <v>350</v>
      </c>
      <c r="J21">
        <v>399</v>
      </c>
      <c r="M21" s="167"/>
      <c r="N21" s="168">
        <v>7920</v>
      </c>
    </row>
    <row r="22" spans="2:14" ht="15" x14ac:dyDescent="0.25">
      <c r="B22" s="123" t="s">
        <v>54</v>
      </c>
      <c r="C22" s="113"/>
      <c r="D22" s="113" t="str">
        <f>Felles!C4</f>
        <v>August</v>
      </c>
      <c r="E22" s="113">
        <v>1</v>
      </c>
      <c r="F22" s="124">
        <v>2960</v>
      </c>
      <c r="G22" s="125"/>
      <c r="H22" s="124">
        <f>E22*F22</f>
        <v>2960</v>
      </c>
      <c r="I22">
        <v>400</v>
      </c>
      <c r="J22">
        <v>449</v>
      </c>
      <c r="M22" s="167"/>
      <c r="N22" s="168">
        <v>8980</v>
      </c>
    </row>
    <row r="23" spans="2:14" ht="15" x14ac:dyDescent="0.25">
      <c r="B23" s="113" t="s">
        <v>1</v>
      </c>
      <c r="C23" s="113"/>
      <c r="D23" s="113"/>
      <c r="E23" s="113" t="s">
        <v>1</v>
      </c>
      <c r="F23" s="124" t="s">
        <v>1</v>
      </c>
      <c r="G23" s="125"/>
      <c r="H23" s="124" t="s">
        <v>1</v>
      </c>
      <c r="I23">
        <v>450</v>
      </c>
      <c r="J23">
        <v>499</v>
      </c>
      <c r="M23" s="167"/>
      <c r="N23" s="168">
        <v>10080</v>
      </c>
    </row>
    <row r="24" spans="2:14" ht="15" x14ac:dyDescent="0.25">
      <c r="B24" s="113"/>
      <c r="C24" s="113"/>
      <c r="D24" s="113"/>
      <c r="E24" s="113"/>
      <c r="F24" s="124" t="s">
        <v>1</v>
      </c>
      <c r="G24" s="125"/>
      <c r="H24" s="124"/>
      <c r="I24">
        <v>500</v>
      </c>
      <c r="J24">
        <v>549</v>
      </c>
      <c r="M24" s="167"/>
      <c r="N24" s="168">
        <v>11150</v>
      </c>
    </row>
    <row r="25" spans="2:14" ht="15" x14ac:dyDescent="0.25">
      <c r="F25" s="17"/>
      <c r="G25" s="18"/>
      <c r="H25" s="17"/>
      <c r="I25">
        <v>550</v>
      </c>
      <c r="J25">
        <v>599</v>
      </c>
      <c r="M25" s="167"/>
      <c r="N25" s="168">
        <v>12200</v>
      </c>
    </row>
    <row r="26" spans="2:14" ht="15" x14ac:dyDescent="0.25">
      <c r="F26" s="17"/>
      <c r="G26" s="18"/>
      <c r="H26" s="17"/>
      <c r="I26">
        <v>600</v>
      </c>
      <c r="J26">
        <v>649</v>
      </c>
      <c r="M26" s="167"/>
      <c r="N26" s="168">
        <v>13260</v>
      </c>
    </row>
    <row r="27" spans="2:14" ht="15" x14ac:dyDescent="0.25">
      <c r="F27" s="17"/>
      <c r="G27" s="18"/>
      <c r="H27" s="17"/>
      <c r="I27">
        <v>650</v>
      </c>
      <c r="J27">
        <v>699</v>
      </c>
      <c r="M27" s="167"/>
      <c r="N27" s="168">
        <v>14360</v>
      </c>
    </row>
    <row r="28" spans="2:14" ht="15" x14ac:dyDescent="0.25">
      <c r="F28" s="17"/>
      <c r="G28" s="18"/>
      <c r="H28" s="17"/>
      <c r="I28">
        <v>700</v>
      </c>
      <c r="J28">
        <v>749</v>
      </c>
      <c r="M28" s="167"/>
      <c r="N28" s="168">
        <v>15430</v>
      </c>
    </row>
    <row r="29" spans="2:14" ht="15" x14ac:dyDescent="0.25">
      <c r="B29" s="33"/>
      <c r="F29" s="17"/>
      <c r="G29" s="18"/>
      <c r="H29" s="17"/>
      <c r="I29">
        <v>750</v>
      </c>
      <c r="J29">
        <v>799</v>
      </c>
      <c r="M29" s="167"/>
      <c r="N29" s="168">
        <v>16530</v>
      </c>
    </row>
    <row r="30" spans="2:14" ht="15" x14ac:dyDescent="0.25">
      <c r="F30" s="17"/>
      <c r="G30" s="18"/>
      <c r="H30" s="17"/>
      <c r="I30">
        <v>800</v>
      </c>
      <c r="J30">
        <v>849</v>
      </c>
      <c r="M30" s="167"/>
      <c r="N30" s="168">
        <v>17590</v>
      </c>
    </row>
    <row r="31" spans="2:14" ht="15" x14ac:dyDescent="0.25">
      <c r="B31" t="s">
        <v>1</v>
      </c>
      <c r="F31" s="17"/>
      <c r="G31" s="18"/>
      <c r="H31" s="17"/>
      <c r="I31">
        <v>850</v>
      </c>
      <c r="J31">
        <v>899</v>
      </c>
      <c r="M31" s="167"/>
      <c r="N31" s="168">
        <v>18680</v>
      </c>
    </row>
    <row r="32" spans="2:14" ht="15" x14ac:dyDescent="0.25">
      <c r="B32" s="8" t="s">
        <v>21</v>
      </c>
      <c r="C32" t="s">
        <v>1</v>
      </c>
      <c r="F32" s="17"/>
      <c r="G32" s="18"/>
      <c r="H32" s="17"/>
      <c r="I32">
        <v>900</v>
      </c>
      <c r="J32">
        <v>949</v>
      </c>
      <c r="M32" s="167"/>
      <c r="N32" s="168">
        <v>19750</v>
      </c>
    </row>
    <row r="33" spans="2:14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I33">
        <v>950</v>
      </c>
      <c r="J33">
        <v>999</v>
      </c>
      <c r="M33" s="167"/>
      <c r="N33" s="168">
        <v>20820</v>
      </c>
    </row>
    <row r="34" spans="2:14" ht="15" x14ac:dyDescent="0.25">
      <c r="B34" s="11"/>
      <c r="C34" s="11"/>
      <c r="D34" s="11"/>
      <c r="E34" s="11"/>
      <c r="F34" s="22"/>
      <c r="G34" s="22"/>
      <c r="H34" s="17"/>
      <c r="I34">
        <v>1000</v>
      </c>
      <c r="J34">
        <v>1099</v>
      </c>
      <c r="M34" s="167"/>
      <c r="N34" s="168">
        <v>23000</v>
      </c>
    </row>
    <row r="35" spans="2:14" ht="15" x14ac:dyDescent="0.25">
      <c r="B35" s="11"/>
      <c r="C35" s="11"/>
      <c r="D35" s="11"/>
      <c r="E35" s="11"/>
      <c r="F35" s="22"/>
      <c r="G35" s="22"/>
      <c r="H35" s="17"/>
      <c r="I35">
        <v>1100</v>
      </c>
      <c r="J35">
        <v>1199</v>
      </c>
      <c r="M35" s="167"/>
      <c r="N35" s="168">
        <v>24100</v>
      </c>
    </row>
    <row r="36" spans="2:14" ht="15" x14ac:dyDescent="0.25">
      <c r="F36" s="17"/>
      <c r="G36" s="17"/>
      <c r="H36" s="17"/>
      <c r="I36">
        <v>1200</v>
      </c>
      <c r="J36">
        <v>1299</v>
      </c>
      <c r="M36" s="167"/>
      <c r="N36" s="168">
        <v>26260</v>
      </c>
    </row>
    <row r="37" spans="2:14" ht="15" x14ac:dyDescent="0.25">
      <c r="F37" s="17"/>
      <c r="G37" s="17"/>
      <c r="H37" s="17"/>
      <c r="I37">
        <v>1300</v>
      </c>
      <c r="J37">
        <v>1399</v>
      </c>
      <c r="M37" s="167"/>
      <c r="N37" s="168">
        <v>28400</v>
      </c>
    </row>
    <row r="38" spans="2:14" ht="15" x14ac:dyDescent="0.25">
      <c r="F38" s="17"/>
      <c r="G38" s="17"/>
      <c r="H38" s="17"/>
      <c r="I38">
        <v>1400</v>
      </c>
      <c r="J38">
        <v>1499</v>
      </c>
      <c r="M38" s="167"/>
      <c r="N38" s="168">
        <v>30240</v>
      </c>
    </row>
    <row r="39" spans="2:14" ht="15.75" x14ac:dyDescent="0.25">
      <c r="B39" s="3" t="s">
        <v>23</v>
      </c>
      <c r="C39" s="3"/>
      <c r="D39" s="3"/>
      <c r="E39" s="3"/>
      <c r="F39" s="19"/>
      <c r="G39" s="19"/>
      <c r="H39" s="126">
        <f>SUM(H22:H38)</f>
        <v>2960</v>
      </c>
      <c r="I39">
        <v>1500</v>
      </c>
      <c r="J39">
        <v>1599</v>
      </c>
      <c r="M39" s="167"/>
      <c r="N39" s="168">
        <v>32710</v>
      </c>
    </row>
    <row r="40" spans="2:14" ht="15" x14ac:dyDescent="0.25">
      <c r="I40">
        <v>1600</v>
      </c>
      <c r="J40">
        <v>1699</v>
      </c>
      <c r="M40" s="167"/>
      <c r="N40" s="168">
        <v>34890</v>
      </c>
    </row>
    <row r="41" spans="2:14" ht="15" x14ac:dyDescent="0.25">
      <c r="I41">
        <v>1700</v>
      </c>
      <c r="J41">
        <v>1799</v>
      </c>
      <c r="M41" s="167"/>
      <c r="N41" s="168">
        <v>37060</v>
      </c>
    </row>
    <row r="42" spans="2:14" ht="15" x14ac:dyDescent="0.25">
      <c r="I42">
        <v>1800</v>
      </c>
      <c r="J42">
        <v>1899</v>
      </c>
      <c r="M42" s="167"/>
      <c r="N42" s="168">
        <v>39200</v>
      </c>
    </row>
    <row r="43" spans="2:14" ht="15" x14ac:dyDescent="0.25">
      <c r="I43">
        <v>1900</v>
      </c>
      <c r="J43">
        <v>1999</v>
      </c>
      <c r="M43" s="167"/>
      <c r="N43" s="168">
        <v>41380</v>
      </c>
    </row>
    <row r="44" spans="2:14" ht="15" x14ac:dyDescent="0.25">
      <c r="I44">
        <v>2000</v>
      </c>
      <c r="J44">
        <v>2099</v>
      </c>
      <c r="M44" s="167"/>
      <c r="N44" s="168">
        <v>43500</v>
      </c>
    </row>
    <row r="45" spans="2:14" ht="15" x14ac:dyDescent="0.25">
      <c r="I45">
        <v>2100</v>
      </c>
      <c r="J45">
        <v>2199</v>
      </c>
      <c r="M45" s="167"/>
      <c r="N45" s="168">
        <v>45650</v>
      </c>
    </row>
    <row r="46" spans="2:14" ht="15" x14ac:dyDescent="0.25">
      <c r="I46">
        <v>2200</v>
      </c>
      <c r="J46">
        <v>2299</v>
      </c>
      <c r="M46" s="167"/>
      <c r="N46" s="168">
        <v>47850</v>
      </c>
    </row>
    <row r="47" spans="2:14" ht="15" x14ac:dyDescent="0.25">
      <c r="I47">
        <v>2300</v>
      </c>
      <c r="J47">
        <v>2399</v>
      </c>
      <c r="M47" s="167"/>
      <c r="N47" s="168">
        <v>49980</v>
      </c>
    </row>
    <row r="48" spans="2:14" ht="15" x14ac:dyDescent="0.25">
      <c r="I48">
        <v>2400</v>
      </c>
      <c r="J48">
        <v>2499</v>
      </c>
      <c r="M48" s="167"/>
      <c r="N48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2A97-BCCE-42CA-B20C-EB418BB0916C}">
  <sheetPr codeName="Ark9">
    <pageSetUpPr fitToPage="1"/>
  </sheetPr>
  <dimension ref="B2:J39"/>
  <sheetViews>
    <sheetView workbookViewId="0">
      <selection activeCell="G17" sqref="G17"/>
    </sheetView>
  </sheetViews>
  <sheetFormatPr baseColWidth="10" defaultRowHeight="12.75" x14ac:dyDescent="0.2"/>
  <cols>
    <col min="1" max="1" width="5.85546875" customWidth="1"/>
    <col min="2" max="2" width="16.5703125" customWidth="1"/>
    <col min="6" max="6" width="15.42578125" customWidth="1"/>
  </cols>
  <sheetData>
    <row r="2" spans="2:10" x14ac:dyDescent="0.2">
      <c r="B2" s="8" t="s">
        <v>22</v>
      </c>
      <c r="H2" t="s">
        <v>1</v>
      </c>
    </row>
    <row r="3" spans="2:10" x14ac:dyDescent="0.2">
      <c r="H3" t="s">
        <v>1</v>
      </c>
    </row>
    <row r="4" spans="2:10" x14ac:dyDescent="0.2">
      <c r="B4" t="s">
        <v>0</v>
      </c>
      <c r="C4" s="1" t="s">
        <v>396</v>
      </c>
      <c r="F4" t="s">
        <v>19</v>
      </c>
      <c r="G4" t="s">
        <v>1</v>
      </c>
      <c r="H4" t="s">
        <v>1</v>
      </c>
      <c r="I4" t="s">
        <v>1</v>
      </c>
    </row>
    <row r="5" spans="2:10" x14ac:dyDescent="0.2">
      <c r="C5" s="4" t="s">
        <v>1</v>
      </c>
      <c r="I5" t="s">
        <v>1</v>
      </c>
    </row>
    <row r="6" spans="2:10" x14ac:dyDescent="0.2">
      <c r="C6" s="4" t="s">
        <v>1</v>
      </c>
    </row>
    <row r="9" spans="2:10" x14ac:dyDescent="0.2">
      <c r="B9" t="s">
        <v>18</v>
      </c>
      <c r="C9" s="113">
        <v>32942</v>
      </c>
    </row>
    <row r="10" spans="2:10" x14ac:dyDescent="0.2">
      <c r="C10" s="46" t="s">
        <v>1</v>
      </c>
      <c r="F10" t="s">
        <v>10</v>
      </c>
      <c r="G10" s="15">
        <f>Felles!C2</f>
        <v>46265</v>
      </c>
    </row>
    <row r="12" spans="2:10" x14ac:dyDescent="0.2">
      <c r="B12" t="s">
        <v>7</v>
      </c>
      <c r="C12" s="4" t="s">
        <v>352</v>
      </c>
      <c r="F12" s="4" t="s">
        <v>397</v>
      </c>
    </row>
    <row r="13" spans="2:10" x14ac:dyDescent="0.2">
      <c r="B13" t="s">
        <v>8</v>
      </c>
      <c r="C13" t="s">
        <v>1</v>
      </c>
      <c r="F13" t="s">
        <v>1</v>
      </c>
    </row>
    <row r="14" spans="2:10" x14ac:dyDescent="0.2">
      <c r="B14" t="s">
        <v>9</v>
      </c>
      <c r="C14" t="s">
        <v>1</v>
      </c>
    </row>
    <row r="15" spans="2:10" x14ac:dyDescent="0.2">
      <c r="F15" s="49" t="s">
        <v>398</v>
      </c>
      <c r="H15" s="86" t="s">
        <v>499</v>
      </c>
      <c r="I15" s="86" t="s">
        <v>500</v>
      </c>
      <c r="J15" t="s">
        <v>659</v>
      </c>
    </row>
    <row r="16" spans="2:10" x14ac:dyDescent="0.2">
      <c r="B16" s="113" t="s">
        <v>16</v>
      </c>
      <c r="C16" s="113" t="s">
        <v>29</v>
      </c>
      <c r="D16" s="113"/>
      <c r="E16" s="113"/>
      <c r="F16" s="128" t="s">
        <v>195</v>
      </c>
      <c r="G16" s="113">
        <v>3035</v>
      </c>
      <c r="H16" s="113">
        <v>3310</v>
      </c>
      <c r="I16" s="113">
        <v>3390</v>
      </c>
      <c r="J16" s="113">
        <v>3490</v>
      </c>
    </row>
    <row r="17" spans="2:10" x14ac:dyDescent="0.2">
      <c r="B17" s="113"/>
      <c r="C17" s="113"/>
      <c r="D17" s="113"/>
      <c r="E17" s="113"/>
      <c r="F17" s="127" t="s">
        <v>399</v>
      </c>
      <c r="G17" s="113">
        <v>30</v>
      </c>
      <c r="H17" s="113">
        <v>30</v>
      </c>
      <c r="I17" s="113">
        <v>31</v>
      </c>
      <c r="J17" s="113">
        <v>32</v>
      </c>
    </row>
    <row r="18" spans="2:10" x14ac:dyDescent="0.2">
      <c r="F18" s="4" t="s">
        <v>1</v>
      </c>
    </row>
    <row r="19" spans="2:10" x14ac:dyDescent="0.2">
      <c r="B19" t="s">
        <v>11</v>
      </c>
      <c r="C19" t="s">
        <v>39</v>
      </c>
    </row>
    <row r="20" spans="2:10" x14ac:dyDescent="0.2">
      <c r="B20" t="s">
        <v>20</v>
      </c>
      <c r="C20" t="s">
        <v>1</v>
      </c>
    </row>
    <row r="23" spans="2:10" x14ac:dyDescent="0.2">
      <c r="B23" s="1"/>
      <c r="C23" s="1"/>
      <c r="D23" s="1"/>
      <c r="E23" s="1"/>
      <c r="F23" s="1"/>
      <c r="G23" s="1"/>
      <c r="H23" s="1"/>
    </row>
    <row r="24" spans="2:10" x14ac:dyDescent="0.2">
      <c r="B24" s="160" t="s">
        <v>15</v>
      </c>
      <c r="C24" s="160"/>
      <c r="D24" s="160"/>
      <c r="E24" s="160" t="s">
        <v>12</v>
      </c>
      <c r="F24" s="160" t="s">
        <v>13</v>
      </c>
      <c r="G24" s="160"/>
      <c r="H24" s="160" t="s">
        <v>14</v>
      </c>
    </row>
    <row r="25" spans="2:10" x14ac:dyDescent="0.2">
      <c r="B25" s="160"/>
      <c r="C25" s="160"/>
      <c r="D25" s="160"/>
      <c r="E25" s="160"/>
      <c r="F25" s="160"/>
      <c r="G25" s="160"/>
      <c r="H25" s="160"/>
    </row>
    <row r="26" spans="2:10" x14ac:dyDescent="0.2">
      <c r="B26" s="161" t="s">
        <v>168</v>
      </c>
      <c r="C26" s="160"/>
      <c r="D26" s="160" t="s">
        <v>418</v>
      </c>
      <c r="E26" s="160">
        <v>1</v>
      </c>
      <c r="F26" s="160">
        <v>3490</v>
      </c>
      <c r="G26" s="160"/>
      <c r="H26" s="160">
        <f>E26*F26</f>
        <v>3490</v>
      </c>
      <c r="J26" s="4" t="s">
        <v>1</v>
      </c>
    </row>
    <row r="27" spans="2:10" x14ac:dyDescent="0.2">
      <c r="B27" s="160" t="s">
        <v>399</v>
      </c>
      <c r="C27" s="160"/>
      <c r="D27" s="160"/>
      <c r="E27" s="160">
        <v>0</v>
      </c>
      <c r="F27" s="160">
        <v>32</v>
      </c>
      <c r="G27" s="160"/>
      <c r="H27" s="160">
        <f>E27*F27</f>
        <v>0</v>
      </c>
    </row>
    <row r="28" spans="2:10" x14ac:dyDescent="0.2">
      <c r="B28" s="160"/>
      <c r="C28" s="160"/>
      <c r="D28" s="160"/>
      <c r="E28" s="160"/>
      <c r="F28" s="160"/>
      <c r="G28" s="160"/>
      <c r="H28" s="160"/>
    </row>
    <row r="29" spans="2:10" x14ac:dyDescent="0.2">
      <c r="B29" s="1"/>
      <c r="C29" s="1"/>
      <c r="D29" s="1"/>
      <c r="E29" s="1"/>
      <c r="F29" s="1"/>
      <c r="G29" s="1"/>
      <c r="H29" s="1"/>
    </row>
    <row r="31" spans="2:10" x14ac:dyDescent="0.2">
      <c r="B31" t="s">
        <v>1</v>
      </c>
    </row>
    <row r="32" spans="2:10" x14ac:dyDescent="0.2">
      <c r="B32" t="s">
        <v>21</v>
      </c>
      <c r="C32" t="s">
        <v>1</v>
      </c>
    </row>
    <row r="33" spans="2:8" x14ac:dyDescent="0.2">
      <c r="B33" t="s">
        <v>1</v>
      </c>
      <c r="E33" t="s">
        <v>1</v>
      </c>
      <c r="F33" t="s">
        <v>1</v>
      </c>
      <c r="H33" t="s">
        <v>1</v>
      </c>
    </row>
    <row r="39" spans="2:8" x14ac:dyDescent="0.2">
      <c r="B39" t="s">
        <v>23</v>
      </c>
      <c r="H39" s="113">
        <f>SUM(H26:H38)</f>
        <v>3490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D646-A0A8-4B2D-A254-5EBCF4428C24}">
  <sheetPr codeName="Ark2">
    <tabColor rgb="FFC00000"/>
  </sheetPr>
  <dimension ref="B2:J49"/>
  <sheetViews>
    <sheetView workbookViewId="0">
      <selection activeCell="L37" sqref="L37"/>
    </sheetView>
  </sheetViews>
  <sheetFormatPr baseColWidth="10" defaultRowHeight="12.75" x14ac:dyDescent="0.2"/>
  <cols>
    <col min="1" max="1" width="8.140625" customWidth="1"/>
  </cols>
  <sheetData>
    <row r="2" spans="2:9" ht="20.25" x14ac:dyDescent="0.3">
      <c r="B2" s="134" t="s">
        <v>22</v>
      </c>
      <c r="C2" s="135"/>
      <c r="D2" s="135"/>
      <c r="E2" s="135"/>
      <c r="F2" s="135"/>
      <c r="G2" s="135"/>
      <c r="H2" s="135"/>
      <c r="I2" s="135"/>
    </row>
    <row r="3" spans="2:9" x14ac:dyDescent="0.2">
      <c r="B3" s="135"/>
      <c r="C3" s="135"/>
      <c r="D3" s="135"/>
      <c r="E3" s="135"/>
      <c r="F3" s="135"/>
      <c r="G3" s="135"/>
      <c r="H3" s="135"/>
      <c r="I3" s="135"/>
    </row>
    <row r="4" spans="2:9" x14ac:dyDescent="0.2">
      <c r="B4" s="136" t="s">
        <v>0</v>
      </c>
      <c r="C4" s="137" t="s">
        <v>441</v>
      </c>
      <c r="D4" s="135"/>
      <c r="E4" s="135"/>
      <c r="F4" s="136" t="s">
        <v>19</v>
      </c>
      <c r="G4" s="136" t="s">
        <v>30</v>
      </c>
      <c r="H4" s="138"/>
      <c r="I4" s="135"/>
    </row>
    <row r="5" spans="2:9" x14ac:dyDescent="0.2">
      <c r="B5" s="136" t="s">
        <v>18</v>
      </c>
      <c r="C5" s="135">
        <v>33111</v>
      </c>
      <c r="D5" s="135"/>
      <c r="E5" s="135"/>
      <c r="F5" s="136"/>
      <c r="G5" s="136"/>
      <c r="H5" s="138"/>
      <c r="I5" s="135"/>
    </row>
    <row r="6" spans="2:9" x14ac:dyDescent="0.2">
      <c r="B6" s="136"/>
      <c r="C6" s="139" t="s">
        <v>1</v>
      </c>
      <c r="D6" s="135"/>
      <c r="E6" s="135"/>
      <c r="F6" s="136" t="s">
        <v>10</v>
      </c>
      <c r="G6" s="140">
        <f>Felles!C2</f>
        <v>46265</v>
      </c>
      <c r="H6" s="138"/>
      <c r="I6" s="135"/>
    </row>
    <row r="7" spans="2:9" x14ac:dyDescent="0.2">
      <c r="B7" s="136"/>
      <c r="C7" s="135"/>
      <c r="D7" s="135"/>
      <c r="E7" s="135"/>
      <c r="F7" s="135"/>
      <c r="G7" s="135"/>
      <c r="H7" s="135"/>
      <c r="I7" s="135"/>
    </row>
    <row r="8" spans="2:9" x14ac:dyDescent="0.2">
      <c r="B8" s="141" t="s">
        <v>7</v>
      </c>
      <c r="C8" s="135"/>
      <c r="D8" s="135"/>
      <c r="E8" s="135"/>
      <c r="F8" s="135"/>
      <c r="G8" s="135"/>
      <c r="H8" s="135"/>
      <c r="I8" s="135"/>
    </row>
    <row r="9" spans="2:9" x14ac:dyDescent="0.2">
      <c r="B9" s="136" t="s">
        <v>8</v>
      </c>
      <c r="C9" s="135" t="s">
        <v>442</v>
      </c>
      <c r="D9" s="135"/>
      <c r="E9" s="135"/>
      <c r="F9" s="135" t="s">
        <v>443</v>
      </c>
      <c r="G9" s="135"/>
      <c r="H9" s="135"/>
      <c r="I9" s="135"/>
    </row>
    <row r="10" spans="2:9" x14ac:dyDescent="0.2">
      <c r="B10" s="136" t="s">
        <v>9</v>
      </c>
      <c r="C10" s="135" t="s">
        <v>1</v>
      </c>
      <c r="D10" s="135"/>
      <c r="E10" s="135"/>
      <c r="F10" s="135" t="s">
        <v>526</v>
      </c>
      <c r="G10" s="135"/>
      <c r="H10" s="135"/>
      <c r="I10" s="135"/>
    </row>
    <row r="11" spans="2:9" x14ac:dyDescent="0.2">
      <c r="B11" s="136"/>
      <c r="C11" s="135"/>
      <c r="D11" s="135"/>
      <c r="E11" s="135"/>
      <c r="F11" s="135" t="s">
        <v>197</v>
      </c>
      <c r="G11" s="135"/>
      <c r="H11" s="140" t="s">
        <v>1</v>
      </c>
      <c r="I11" s="135"/>
    </row>
    <row r="12" spans="2:9" x14ac:dyDescent="0.2">
      <c r="B12" s="136" t="s">
        <v>16</v>
      </c>
      <c r="C12" s="135" t="s">
        <v>29</v>
      </c>
      <c r="D12" s="135"/>
      <c r="E12" s="135"/>
      <c r="F12" s="135"/>
      <c r="G12" s="135"/>
      <c r="H12" s="135"/>
      <c r="I12" s="135"/>
    </row>
    <row r="13" spans="2:9" x14ac:dyDescent="0.2">
      <c r="B13" s="136"/>
      <c r="C13" s="135"/>
      <c r="D13" s="135"/>
      <c r="E13" s="135"/>
      <c r="F13" s="135" t="s">
        <v>444</v>
      </c>
      <c r="G13" s="135"/>
      <c r="H13" s="135"/>
      <c r="I13" s="135"/>
    </row>
    <row r="14" spans="2:9" x14ac:dyDescent="0.2">
      <c r="B14" s="136"/>
      <c r="C14" s="138"/>
      <c r="D14" s="135"/>
      <c r="E14" s="135"/>
      <c r="F14" s="135"/>
      <c r="G14" s="135"/>
      <c r="H14" s="135"/>
      <c r="I14" s="135"/>
    </row>
    <row r="15" spans="2:9" x14ac:dyDescent="0.2">
      <c r="B15" s="136" t="s">
        <v>11</v>
      </c>
      <c r="C15" s="138" t="s">
        <v>17</v>
      </c>
      <c r="D15" s="135"/>
      <c r="E15" s="135"/>
      <c r="F15" s="135"/>
      <c r="G15" s="135"/>
      <c r="H15" s="135"/>
      <c r="I15" s="135"/>
    </row>
    <row r="16" spans="2:9" x14ac:dyDescent="0.2">
      <c r="B16" s="136" t="s">
        <v>20</v>
      </c>
      <c r="C16" s="137" t="s">
        <v>24</v>
      </c>
      <c r="D16" s="135"/>
      <c r="E16" s="135"/>
      <c r="F16" s="135" t="s">
        <v>525</v>
      </c>
      <c r="G16" s="135"/>
      <c r="H16" s="135"/>
      <c r="I16" s="135"/>
    </row>
    <row r="17" spans="2:9" x14ac:dyDescent="0.2">
      <c r="B17" s="136"/>
      <c r="C17" s="138"/>
      <c r="D17" s="135"/>
      <c r="E17" s="135"/>
      <c r="F17" s="135"/>
      <c r="G17" s="135"/>
      <c r="H17" s="135"/>
      <c r="I17" s="135"/>
    </row>
    <row r="18" spans="2:9" x14ac:dyDescent="0.2">
      <c r="B18" s="136"/>
      <c r="C18" s="138"/>
      <c r="D18" s="135"/>
      <c r="E18" s="135"/>
      <c r="F18" s="135"/>
      <c r="G18" s="135"/>
      <c r="H18" s="135"/>
      <c r="I18" s="135"/>
    </row>
    <row r="19" spans="2:9" x14ac:dyDescent="0.2">
      <c r="B19" s="136"/>
      <c r="C19" s="135"/>
      <c r="D19" s="135"/>
      <c r="E19" s="135"/>
      <c r="F19" s="135"/>
      <c r="G19" s="135"/>
      <c r="H19" s="135"/>
      <c r="I19" s="135"/>
    </row>
    <row r="20" spans="2:9" x14ac:dyDescent="0.2">
      <c r="B20" s="141" t="s">
        <v>15</v>
      </c>
      <c r="C20" s="142"/>
      <c r="D20" s="135"/>
      <c r="E20" s="143" t="s">
        <v>12</v>
      </c>
      <c r="F20" s="143" t="s">
        <v>13</v>
      </c>
      <c r="G20" s="141"/>
      <c r="H20" s="144" t="s">
        <v>14</v>
      </c>
      <c r="I20" s="135"/>
    </row>
    <row r="21" spans="2:9" x14ac:dyDescent="0.2">
      <c r="B21" s="135"/>
      <c r="C21" s="135"/>
      <c r="D21" s="135"/>
      <c r="E21" s="135"/>
      <c r="F21" s="135"/>
      <c r="G21" s="135"/>
      <c r="H21" s="145"/>
      <c r="I21" s="135"/>
    </row>
    <row r="22" spans="2:9" x14ac:dyDescent="0.2">
      <c r="B22" s="137" t="s">
        <v>168</v>
      </c>
      <c r="C22" s="135"/>
      <c r="D22" s="135" t="str">
        <f>Felles!C4</f>
        <v>August</v>
      </c>
      <c r="E22" s="135">
        <v>0</v>
      </c>
      <c r="F22" s="145">
        <v>2500</v>
      </c>
      <c r="G22" s="146"/>
      <c r="H22" s="145">
        <f>E22*F22</f>
        <v>0</v>
      </c>
      <c r="I22" s="135"/>
    </row>
    <row r="23" spans="2:9" x14ac:dyDescent="0.2">
      <c r="B23" s="135"/>
      <c r="C23" s="135"/>
      <c r="D23" s="135"/>
      <c r="E23" s="135"/>
      <c r="F23" s="145"/>
      <c r="G23" s="146"/>
      <c r="H23" s="145"/>
      <c r="I23" s="135"/>
    </row>
    <row r="24" spans="2:9" x14ac:dyDescent="0.2">
      <c r="B24" s="135" t="s">
        <v>1</v>
      </c>
      <c r="C24" s="135"/>
      <c r="D24" s="135"/>
      <c r="E24" s="135"/>
      <c r="F24" s="145"/>
      <c r="G24" s="146"/>
      <c r="H24" s="145"/>
      <c r="I24" s="135"/>
    </row>
    <row r="25" spans="2:9" x14ac:dyDescent="0.2">
      <c r="B25" s="135"/>
      <c r="C25" s="135"/>
      <c r="D25" s="135"/>
      <c r="E25" s="135"/>
      <c r="F25" s="145"/>
      <c r="G25" s="146"/>
      <c r="H25" s="145"/>
      <c r="I25" s="135"/>
    </row>
    <row r="26" spans="2:9" x14ac:dyDescent="0.2">
      <c r="B26" s="135" t="s">
        <v>1</v>
      </c>
      <c r="C26" s="135"/>
      <c r="D26" s="135"/>
      <c r="E26" s="135"/>
      <c r="F26" s="145"/>
      <c r="G26" s="146"/>
      <c r="H26" s="145"/>
      <c r="I26" s="135"/>
    </row>
    <row r="27" spans="2:9" x14ac:dyDescent="0.2">
      <c r="B27" s="135"/>
      <c r="C27" s="135"/>
      <c r="D27" s="135"/>
      <c r="E27" s="135"/>
      <c r="F27" s="145"/>
      <c r="G27" s="145"/>
      <c r="H27" s="145"/>
      <c r="I27" s="135"/>
    </row>
    <row r="28" spans="2:9" x14ac:dyDescent="0.2">
      <c r="B28" s="135"/>
      <c r="C28" s="135"/>
      <c r="D28" s="135"/>
      <c r="E28" s="135"/>
      <c r="F28" s="145"/>
      <c r="G28" s="145"/>
      <c r="H28" s="145"/>
      <c r="I28" s="135"/>
    </row>
    <row r="29" spans="2:9" x14ac:dyDescent="0.2">
      <c r="B29" s="135"/>
      <c r="C29" s="135"/>
      <c r="D29" s="135"/>
      <c r="E29" s="135"/>
      <c r="F29" s="145"/>
      <c r="G29" s="145"/>
      <c r="H29" s="145"/>
      <c r="I29" s="135"/>
    </row>
    <row r="30" spans="2:9" x14ac:dyDescent="0.2">
      <c r="B30" s="135"/>
      <c r="C30" s="135"/>
      <c r="D30" s="135"/>
      <c r="E30" s="135"/>
      <c r="F30" s="145"/>
      <c r="G30" s="145"/>
      <c r="H30" s="145"/>
      <c r="I30" s="135"/>
    </row>
    <row r="31" spans="2:9" ht="15.75" x14ac:dyDescent="0.25">
      <c r="B31" s="147" t="s">
        <v>23</v>
      </c>
      <c r="C31" s="147"/>
      <c r="D31" s="147"/>
      <c r="E31" s="147"/>
      <c r="F31" s="148"/>
      <c r="G31" s="148"/>
      <c r="H31" s="148">
        <f>SUM(H22:H30)</f>
        <v>0</v>
      </c>
      <c r="I31" s="135"/>
    </row>
    <row r="32" spans="2:9" x14ac:dyDescent="0.2">
      <c r="B32" s="133"/>
      <c r="C32" s="133"/>
      <c r="D32" s="133"/>
      <c r="E32" s="133"/>
      <c r="F32" s="133"/>
      <c r="G32" s="133"/>
      <c r="H32" s="133"/>
      <c r="I32" s="133"/>
    </row>
    <row r="49" spans="10:10" x14ac:dyDescent="0.2">
      <c r="J49" s="40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0FCD-1DEB-4D42-ACFF-BAB4E0CB67B2}">
  <sheetPr codeName="Ark13">
    <pageSetUpPr fitToPage="1"/>
  </sheetPr>
  <dimension ref="A2:L58"/>
  <sheetViews>
    <sheetView topLeftCell="A31" workbookViewId="0">
      <selection activeCell="L58" sqref="L58"/>
    </sheetView>
  </sheetViews>
  <sheetFormatPr baseColWidth="10" defaultRowHeight="12.75" x14ac:dyDescent="0.2"/>
  <cols>
    <col min="1" max="1" width="7.5703125" customWidth="1"/>
  </cols>
  <sheetData>
    <row r="2" spans="2:12" x14ac:dyDescent="0.2">
      <c r="B2" s="8" t="s">
        <v>22</v>
      </c>
    </row>
    <row r="4" spans="2:12" x14ac:dyDescent="0.2">
      <c r="B4" t="s">
        <v>0</v>
      </c>
      <c r="C4" s="1" t="s">
        <v>156</v>
      </c>
      <c r="F4" t="s">
        <v>19</v>
      </c>
      <c r="G4" t="s">
        <v>1</v>
      </c>
    </row>
    <row r="5" spans="2:12" x14ac:dyDescent="0.2">
      <c r="C5" s="4" t="s">
        <v>1</v>
      </c>
    </row>
    <row r="6" spans="2:12" x14ac:dyDescent="0.2">
      <c r="C6" s="4" t="s">
        <v>1</v>
      </c>
    </row>
    <row r="9" spans="2:12" x14ac:dyDescent="0.2">
      <c r="B9" t="s">
        <v>18</v>
      </c>
      <c r="C9">
        <v>32498</v>
      </c>
    </row>
    <row r="10" spans="2:12" x14ac:dyDescent="0.2">
      <c r="C10" s="46" t="s">
        <v>1</v>
      </c>
      <c r="F10" t="s">
        <v>10</v>
      </c>
      <c r="G10" s="15">
        <f>Felles!C2</f>
        <v>46265</v>
      </c>
    </row>
    <row r="12" spans="2:12" x14ac:dyDescent="0.2">
      <c r="B12" t="s">
        <v>7</v>
      </c>
      <c r="C12" s="4" t="s">
        <v>1</v>
      </c>
      <c r="F12" t="s">
        <v>157</v>
      </c>
      <c r="J12" s="44" t="s">
        <v>79</v>
      </c>
      <c r="K12" s="110" t="s">
        <v>195</v>
      </c>
      <c r="L12">
        <v>2930</v>
      </c>
    </row>
    <row r="13" spans="2:12" x14ac:dyDescent="0.2">
      <c r="B13" t="s">
        <v>8</v>
      </c>
      <c r="C13" t="s">
        <v>1</v>
      </c>
      <c r="K13" s="111" t="s">
        <v>318</v>
      </c>
      <c r="L13">
        <v>3340</v>
      </c>
    </row>
    <row r="14" spans="2:12" x14ac:dyDescent="0.2">
      <c r="B14" t="s">
        <v>9</v>
      </c>
      <c r="C14" t="s">
        <v>1</v>
      </c>
      <c r="K14" s="111" t="s">
        <v>51</v>
      </c>
      <c r="L14">
        <v>3550</v>
      </c>
    </row>
    <row r="15" spans="2:12" x14ac:dyDescent="0.2">
      <c r="F15" s="1" t="s">
        <v>570</v>
      </c>
      <c r="I15" t="s">
        <v>1</v>
      </c>
      <c r="K15" s="111" t="s">
        <v>52</v>
      </c>
      <c r="L15">
        <v>3870</v>
      </c>
    </row>
    <row r="16" spans="2:12" x14ac:dyDescent="0.2">
      <c r="B16" t="s">
        <v>16</v>
      </c>
      <c r="C16" t="s">
        <v>29</v>
      </c>
      <c r="F16" t="s">
        <v>569</v>
      </c>
      <c r="K16" s="111" t="s">
        <v>53</v>
      </c>
      <c r="L16">
        <v>4620</v>
      </c>
    </row>
    <row r="17" spans="2:12" x14ac:dyDescent="0.2">
      <c r="K17" s="111" t="s">
        <v>55</v>
      </c>
      <c r="L17">
        <v>5490</v>
      </c>
    </row>
    <row r="18" spans="2:12" x14ac:dyDescent="0.2">
      <c r="F18" s="1" t="s">
        <v>568</v>
      </c>
      <c r="K18" s="111" t="s">
        <v>56</v>
      </c>
      <c r="L18">
        <v>6360</v>
      </c>
    </row>
    <row r="19" spans="2:12" x14ac:dyDescent="0.2">
      <c r="B19" t="s">
        <v>11</v>
      </c>
      <c r="C19" t="s">
        <v>39</v>
      </c>
      <c r="F19" s="32" t="s">
        <v>565</v>
      </c>
      <c r="K19" s="111" t="s">
        <v>57</v>
      </c>
      <c r="L19">
        <v>7230</v>
      </c>
    </row>
    <row r="20" spans="2:12" x14ac:dyDescent="0.2">
      <c r="B20" t="s">
        <v>20</v>
      </c>
      <c r="C20" t="s">
        <v>1</v>
      </c>
      <c r="K20" s="111" t="s">
        <v>58</v>
      </c>
      <c r="L20">
        <v>8090</v>
      </c>
    </row>
    <row r="21" spans="2:12" x14ac:dyDescent="0.2">
      <c r="F21" t="s">
        <v>341</v>
      </c>
      <c r="K21" s="111" t="s">
        <v>59</v>
      </c>
      <c r="L21">
        <v>8950</v>
      </c>
    </row>
    <row r="22" spans="2:12" x14ac:dyDescent="0.2">
      <c r="K22" s="111" t="s">
        <v>60</v>
      </c>
      <c r="L22">
        <v>9820</v>
      </c>
    </row>
    <row r="23" spans="2:12" x14ac:dyDescent="0.2">
      <c r="K23" s="111" t="s">
        <v>571</v>
      </c>
      <c r="L23">
        <v>10670</v>
      </c>
    </row>
    <row r="24" spans="2:12" x14ac:dyDescent="0.2">
      <c r="B24" s="204" t="s">
        <v>868</v>
      </c>
      <c r="C24" s="204"/>
      <c r="D24" s="204"/>
      <c r="E24" s="204"/>
      <c r="F24" s="113"/>
      <c r="G24" s="113"/>
      <c r="H24" s="113"/>
      <c r="I24" s="129"/>
      <c r="K24" s="111" t="s">
        <v>572</v>
      </c>
      <c r="L24">
        <v>11540</v>
      </c>
    </row>
    <row r="25" spans="2:12" x14ac:dyDescent="0.2">
      <c r="B25" s="113"/>
      <c r="C25" s="113"/>
      <c r="D25" s="113"/>
      <c r="E25" s="113"/>
      <c r="F25" s="113"/>
      <c r="G25" s="113"/>
      <c r="H25" s="113"/>
      <c r="I25" s="113"/>
      <c r="K25" s="111" t="s">
        <v>573</v>
      </c>
      <c r="L25">
        <v>12400</v>
      </c>
    </row>
    <row r="26" spans="2:12" x14ac:dyDescent="0.2">
      <c r="B26" s="123"/>
      <c r="C26" s="113"/>
      <c r="D26" s="129"/>
      <c r="E26" s="113"/>
      <c r="F26" s="113"/>
      <c r="G26" s="113"/>
      <c r="H26" s="113"/>
      <c r="I26" s="113"/>
      <c r="K26" s="111" t="s">
        <v>574</v>
      </c>
      <c r="L26">
        <v>13280</v>
      </c>
    </row>
    <row r="27" spans="2:12" x14ac:dyDescent="0.2">
      <c r="B27" s="130"/>
      <c r="C27" s="113"/>
      <c r="D27" s="113"/>
      <c r="E27" s="113"/>
      <c r="F27" s="113"/>
      <c r="G27" s="113"/>
      <c r="H27" s="113"/>
      <c r="I27" s="113"/>
      <c r="K27" s="111" t="s">
        <v>575</v>
      </c>
      <c r="L27">
        <v>14130</v>
      </c>
    </row>
    <row r="28" spans="2:12" x14ac:dyDescent="0.2">
      <c r="B28" s="127"/>
      <c r="C28" s="113"/>
      <c r="D28" s="113"/>
      <c r="E28" s="113"/>
      <c r="F28" s="113"/>
      <c r="G28" s="113"/>
      <c r="H28" s="113"/>
      <c r="I28" s="113"/>
      <c r="K28" s="111" t="s">
        <v>576</v>
      </c>
      <c r="L28">
        <v>15000</v>
      </c>
    </row>
    <row r="29" spans="2:12" x14ac:dyDescent="0.2">
      <c r="B29" s="127"/>
      <c r="C29" s="113"/>
      <c r="D29" s="113"/>
      <c r="E29" s="131"/>
      <c r="F29" s="113"/>
      <c r="G29" s="113"/>
      <c r="H29" s="113"/>
      <c r="I29" s="113"/>
      <c r="K29" s="111" t="s">
        <v>577</v>
      </c>
      <c r="L29">
        <v>15870</v>
      </c>
    </row>
    <row r="30" spans="2:12" x14ac:dyDescent="0.2">
      <c r="B30" t="s">
        <v>549</v>
      </c>
      <c r="K30" s="111" t="s">
        <v>578</v>
      </c>
      <c r="L30">
        <v>16740</v>
      </c>
    </row>
    <row r="31" spans="2:12" x14ac:dyDescent="0.2">
      <c r="B31" t="s">
        <v>550</v>
      </c>
    </row>
    <row r="32" spans="2:12" ht="13.5" thickBot="1" x14ac:dyDescent="0.25">
      <c r="B32" t="s">
        <v>551</v>
      </c>
      <c r="C32" t="s">
        <v>1</v>
      </c>
    </row>
    <row r="33" spans="2:8" ht="13.5" thickBot="1" x14ac:dyDescent="0.25">
      <c r="B33" t="s">
        <v>1</v>
      </c>
      <c r="E33" t="s">
        <v>1</v>
      </c>
      <c r="F33" t="s">
        <v>1</v>
      </c>
      <c r="G33" s="179" t="s">
        <v>191</v>
      </c>
      <c r="H33" s="180">
        <v>15000</v>
      </c>
    </row>
    <row r="34" spans="2:8" x14ac:dyDescent="0.2">
      <c r="G34" s="1"/>
      <c r="H34" s="1"/>
    </row>
    <row r="35" spans="2:8" x14ac:dyDescent="0.2">
      <c r="G35" s="1"/>
      <c r="H35" s="1"/>
    </row>
    <row r="37" spans="2:8" x14ac:dyDescent="0.2">
      <c r="C37" s="108"/>
      <c r="D37" s="4" t="s">
        <v>33</v>
      </c>
      <c r="E37" s="4" t="s">
        <v>70</v>
      </c>
      <c r="F37" s="4" t="s">
        <v>36</v>
      </c>
      <c r="G37" s="4" t="s">
        <v>71</v>
      </c>
      <c r="H37" s="4" t="s">
        <v>72</v>
      </c>
    </row>
    <row r="38" spans="2:8" x14ac:dyDescent="0.2">
      <c r="B38" t="s">
        <v>339</v>
      </c>
      <c r="C38">
        <v>188</v>
      </c>
      <c r="D38">
        <v>295</v>
      </c>
      <c r="E38">
        <v>257</v>
      </c>
      <c r="F38">
        <v>267</v>
      </c>
      <c r="G38">
        <v>426</v>
      </c>
      <c r="H38">
        <v>432</v>
      </c>
    </row>
    <row r="39" spans="2:8" x14ac:dyDescent="0.2">
      <c r="B39" t="s">
        <v>340</v>
      </c>
      <c r="C39">
        <v>14</v>
      </c>
      <c r="D39">
        <v>37</v>
      </c>
      <c r="E39">
        <v>33</v>
      </c>
      <c r="F39">
        <v>13</v>
      </c>
      <c r="G39">
        <v>36</v>
      </c>
      <c r="H39">
        <v>19</v>
      </c>
    </row>
    <row r="40" spans="2:8" x14ac:dyDescent="0.2">
      <c r="C40">
        <f t="shared" ref="C40:H40" si="0">SUM(C38:C39)</f>
        <v>202</v>
      </c>
      <c r="D40">
        <f t="shared" si="0"/>
        <v>332</v>
      </c>
      <c r="E40">
        <f t="shared" si="0"/>
        <v>290</v>
      </c>
      <c r="F40">
        <f t="shared" si="0"/>
        <v>280</v>
      </c>
      <c r="G40">
        <f t="shared" si="0"/>
        <v>462</v>
      </c>
      <c r="H40">
        <f t="shared" si="0"/>
        <v>451</v>
      </c>
    </row>
    <row r="42" spans="2:8" x14ac:dyDescent="0.2">
      <c r="C42" t="s">
        <v>409</v>
      </c>
      <c r="D42" s="4" t="s">
        <v>521</v>
      </c>
      <c r="E42" s="108" t="s">
        <v>77</v>
      </c>
      <c r="G42" t="s">
        <v>391</v>
      </c>
      <c r="H42" t="s">
        <v>538</v>
      </c>
    </row>
    <row r="43" spans="2:8" x14ac:dyDescent="0.2">
      <c r="B43" t="s">
        <v>339</v>
      </c>
      <c r="C43">
        <v>484</v>
      </c>
      <c r="D43">
        <v>485</v>
      </c>
      <c r="E43">
        <v>351</v>
      </c>
      <c r="G43">
        <v>225</v>
      </c>
      <c r="H43">
        <v>281</v>
      </c>
    </row>
    <row r="44" spans="2:8" x14ac:dyDescent="0.2">
      <c r="B44" t="s">
        <v>520</v>
      </c>
      <c r="C44">
        <v>24</v>
      </c>
      <c r="D44">
        <v>19</v>
      </c>
      <c r="E44">
        <v>22</v>
      </c>
      <c r="G44">
        <v>30</v>
      </c>
      <c r="H44">
        <v>27</v>
      </c>
    </row>
    <row r="45" spans="2:8" x14ac:dyDescent="0.2">
      <c r="C45">
        <f>SUM(C43:C44)</f>
        <v>508</v>
      </c>
      <c r="D45">
        <f>SUM(D43:D44)</f>
        <v>504</v>
      </c>
      <c r="E45">
        <f>SUM(E43:E44)</f>
        <v>373</v>
      </c>
      <c r="G45">
        <f>SUM(G43:G44)</f>
        <v>255</v>
      </c>
      <c r="H45">
        <f>SUM(H43:H44)</f>
        <v>308</v>
      </c>
    </row>
    <row r="48" spans="2:8" x14ac:dyDescent="0.2">
      <c r="C48" s="108" t="s">
        <v>602</v>
      </c>
      <c r="D48" t="s">
        <v>613</v>
      </c>
      <c r="E48" t="s">
        <v>657</v>
      </c>
      <c r="F48" t="s">
        <v>36</v>
      </c>
    </row>
    <row r="49" spans="1:11" x14ac:dyDescent="0.2">
      <c r="B49" s="108" t="s">
        <v>339</v>
      </c>
      <c r="C49">
        <v>369</v>
      </c>
      <c r="D49">
        <v>380</v>
      </c>
      <c r="E49">
        <v>270</v>
      </c>
    </row>
    <row r="50" spans="1:11" x14ac:dyDescent="0.2">
      <c r="B50" s="108" t="s">
        <v>603</v>
      </c>
      <c r="C50">
        <v>27</v>
      </c>
      <c r="D50">
        <v>66</v>
      </c>
      <c r="E50">
        <v>30</v>
      </c>
    </row>
    <row r="52" spans="1:11" x14ac:dyDescent="0.2">
      <c r="C52">
        <f t="shared" ref="C52:H52" si="1">SUM(C49:C50)</f>
        <v>396</v>
      </c>
      <c r="D52">
        <f t="shared" si="1"/>
        <v>446</v>
      </c>
      <c r="E52">
        <f t="shared" si="1"/>
        <v>300</v>
      </c>
      <c r="F52">
        <f t="shared" si="1"/>
        <v>0</v>
      </c>
      <c r="G52">
        <f t="shared" si="1"/>
        <v>0</v>
      </c>
      <c r="H52">
        <f t="shared" si="1"/>
        <v>0</v>
      </c>
    </row>
    <row r="54" spans="1:11" x14ac:dyDescent="0.2">
      <c r="A54" s="1">
        <v>2026</v>
      </c>
      <c r="B54" s="108"/>
      <c r="C54" s="108" t="s">
        <v>216</v>
      </c>
      <c r="D54" s="108" t="s">
        <v>348</v>
      </c>
      <c r="E54" s="108" t="s">
        <v>389</v>
      </c>
      <c r="F54" s="108" t="s">
        <v>390</v>
      </c>
      <c r="G54" s="108" t="s">
        <v>832</v>
      </c>
      <c r="H54" s="108" t="s">
        <v>833</v>
      </c>
      <c r="I54" s="108" t="s">
        <v>834</v>
      </c>
      <c r="J54" s="108" t="s">
        <v>538</v>
      </c>
    </row>
    <row r="55" spans="1:11" x14ac:dyDescent="0.2">
      <c r="B55" s="108" t="s">
        <v>156</v>
      </c>
      <c r="C55">
        <v>562</v>
      </c>
      <c r="D55">
        <v>477</v>
      </c>
      <c r="E55">
        <v>712</v>
      </c>
      <c r="F55">
        <v>472</v>
      </c>
      <c r="G55">
        <v>364</v>
      </c>
      <c r="H55">
        <v>405</v>
      </c>
      <c r="I55">
        <v>254</v>
      </c>
      <c r="J55">
        <v>394</v>
      </c>
    </row>
    <row r="56" spans="1:11" x14ac:dyDescent="0.2">
      <c r="B56" s="108" t="s">
        <v>836</v>
      </c>
      <c r="C56">
        <v>35</v>
      </c>
      <c r="D56">
        <v>33</v>
      </c>
      <c r="E56">
        <v>33</v>
      </c>
      <c r="F56">
        <v>32</v>
      </c>
      <c r="G56">
        <v>34</v>
      </c>
      <c r="H56">
        <v>25</v>
      </c>
      <c r="I56">
        <v>24</v>
      </c>
      <c r="J56">
        <v>36</v>
      </c>
    </row>
    <row r="58" spans="1:11" x14ac:dyDescent="0.2">
      <c r="B58" s="1" t="s">
        <v>835</v>
      </c>
      <c r="C58" s="1">
        <f t="shared" ref="C58:I58" si="2">SUM(C55+C56)</f>
        <v>597</v>
      </c>
      <c r="D58" s="1">
        <f t="shared" si="2"/>
        <v>510</v>
      </c>
      <c r="E58" s="1">
        <f t="shared" si="2"/>
        <v>745</v>
      </c>
      <c r="F58" s="1">
        <f t="shared" si="2"/>
        <v>504</v>
      </c>
      <c r="G58" s="1">
        <f t="shared" si="2"/>
        <v>398</v>
      </c>
      <c r="H58" s="1">
        <f t="shared" si="2"/>
        <v>430</v>
      </c>
      <c r="I58" s="1">
        <f t="shared" si="2"/>
        <v>278</v>
      </c>
      <c r="J58" s="1"/>
      <c r="K58" s="1"/>
    </row>
  </sheetData>
  <phoneticPr fontId="27" type="noConversion"/>
  <pageMargins left="0.70866141732283472" right="0.70866141732283472" top="0.74803149606299213" bottom="0.74803149606299213" header="0.31496062992125984" footer="0.31496062992125984"/>
  <pageSetup paperSize="9"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3D35-1A56-4EAD-802C-C51DF34EC955}">
  <sheetPr codeName="Ark14">
    <pageSetUpPr fitToPage="1"/>
  </sheetPr>
  <dimension ref="B2:H37"/>
  <sheetViews>
    <sheetView workbookViewId="0">
      <selection activeCell="E25" sqref="E25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410</v>
      </c>
      <c r="F4" s="1" t="s">
        <v>19</v>
      </c>
      <c r="G4" s="12" t="s">
        <v>30</v>
      </c>
      <c r="H4" s="13"/>
    </row>
    <row r="5" spans="2:8" x14ac:dyDescent="0.2">
      <c r="B5" s="1" t="s">
        <v>18</v>
      </c>
      <c r="C5" s="4" t="s">
        <v>1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38" t="s">
        <v>284</v>
      </c>
      <c r="F9" s="4" t="s">
        <v>280</v>
      </c>
    </row>
    <row r="10" spans="2:8" x14ac:dyDescent="0.2">
      <c r="B10" s="1" t="s">
        <v>9</v>
      </c>
      <c r="C10" s="11" t="s">
        <v>1</v>
      </c>
    </row>
    <row r="11" spans="2:8" x14ac:dyDescent="0.2">
      <c r="B11" s="1"/>
    </row>
    <row r="12" spans="2:8" x14ac:dyDescent="0.2">
      <c r="B12" s="1" t="s">
        <v>16</v>
      </c>
      <c r="C12" s="11" t="s">
        <v>29</v>
      </c>
      <c r="F12" s="62" t="s">
        <v>290</v>
      </c>
      <c r="G12" s="62"/>
      <c r="H12" s="62"/>
    </row>
    <row r="13" spans="2:8" x14ac:dyDescent="0.2">
      <c r="B13" s="1"/>
      <c r="F13" s="62" t="s">
        <v>1</v>
      </c>
      <c r="G13" s="62"/>
      <c r="H13" s="62"/>
    </row>
    <row r="14" spans="2:8" x14ac:dyDescent="0.2">
      <c r="B14" s="1"/>
      <c r="C14" s="13"/>
      <c r="F14" s="62" t="s">
        <v>281</v>
      </c>
      <c r="G14" s="62" t="s">
        <v>291</v>
      </c>
      <c r="H14" s="62"/>
    </row>
    <row r="15" spans="2:8" x14ac:dyDescent="0.2">
      <c r="B15" s="1" t="s">
        <v>11</v>
      </c>
      <c r="C15" s="13" t="s">
        <v>39</v>
      </c>
      <c r="F15" s="181" t="s">
        <v>292</v>
      </c>
      <c r="G15" s="62" t="s">
        <v>282</v>
      </c>
      <c r="H15" s="62"/>
    </row>
    <row r="16" spans="2:8" x14ac:dyDescent="0.2">
      <c r="B16" s="1" t="s">
        <v>20</v>
      </c>
      <c r="C16" s="13" t="s">
        <v>1</v>
      </c>
      <c r="F16" s="62" t="s">
        <v>342</v>
      </c>
      <c r="G16" s="62" t="s">
        <v>1</v>
      </c>
      <c r="H16" s="62"/>
    </row>
    <row r="17" spans="2:8" x14ac:dyDescent="0.2">
      <c r="B17" s="1"/>
      <c r="C17" s="13"/>
      <c r="F17" s="62" t="s">
        <v>281</v>
      </c>
      <c r="G17" s="62" t="s">
        <v>344</v>
      </c>
      <c r="H17" s="62"/>
    </row>
    <row r="18" spans="2:8" x14ac:dyDescent="0.2">
      <c r="B18" s="1"/>
      <c r="C18" s="13"/>
      <c r="F18" s="62" t="s">
        <v>292</v>
      </c>
      <c r="G18" s="62" t="s">
        <v>343</v>
      </c>
      <c r="H18" s="62"/>
    </row>
    <row r="19" spans="2:8" x14ac:dyDescent="0.2">
      <c r="B19" s="1"/>
      <c r="F19" s="62"/>
      <c r="G19" s="62"/>
      <c r="H19" s="62"/>
    </row>
    <row r="20" spans="2:8" x14ac:dyDescent="0.2">
      <c r="B20" s="1"/>
      <c r="F20" s="62" t="s">
        <v>837</v>
      </c>
      <c r="G20" s="62"/>
      <c r="H20" s="62"/>
    </row>
    <row r="21" spans="2:8" x14ac:dyDescent="0.2">
      <c r="B21" s="1"/>
    </row>
    <row r="22" spans="2:8" x14ac:dyDescent="0.2">
      <c r="B22" s="8" t="s">
        <v>15</v>
      </c>
      <c r="C22" s="2"/>
      <c r="E22" s="21" t="s">
        <v>12</v>
      </c>
      <c r="F22" s="21" t="s">
        <v>13</v>
      </c>
      <c r="G22" s="8"/>
      <c r="H22" s="16" t="s">
        <v>14</v>
      </c>
    </row>
    <row r="23" spans="2:8" x14ac:dyDescent="0.2">
      <c r="H23" s="17"/>
    </row>
    <row r="24" spans="2:8" x14ac:dyDescent="0.2">
      <c r="B24" s="53" t="s">
        <v>365</v>
      </c>
      <c r="C24" s="1"/>
      <c r="D24" s="1"/>
      <c r="E24" s="1">
        <v>1</v>
      </c>
      <c r="F24" s="79">
        <v>199</v>
      </c>
      <c r="G24" s="182"/>
      <c r="H24" s="79">
        <f>E24*F24</f>
        <v>199</v>
      </c>
    </row>
    <row r="25" spans="2:8" x14ac:dyDescent="0.2">
      <c r="B25" s="1" t="s">
        <v>283</v>
      </c>
      <c r="C25" s="1"/>
      <c r="D25" s="1"/>
      <c r="E25" s="1">
        <v>9</v>
      </c>
      <c r="F25" s="79">
        <v>42</v>
      </c>
      <c r="G25" s="182"/>
      <c r="H25" s="79">
        <f>E25*F25</f>
        <v>378</v>
      </c>
    </row>
    <row r="26" spans="2:8" x14ac:dyDescent="0.2">
      <c r="F26" s="17" t="s">
        <v>366</v>
      </c>
      <c r="G26" s="18"/>
      <c r="H26" s="17"/>
    </row>
    <row r="27" spans="2:8" x14ac:dyDescent="0.2">
      <c r="B27" s="40" t="s">
        <v>363</v>
      </c>
      <c r="F27" s="17"/>
      <c r="G27" s="18"/>
      <c r="H27" s="17"/>
    </row>
    <row r="28" spans="2:8" x14ac:dyDescent="0.2">
      <c r="F28" s="17"/>
      <c r="G28" s="18"/>
      <c r="H28" s="17"/>
    </row>
    <row r="29" spans="2:8" x14ac:dyDescent="0.2">
      <c r="B29" t="s">
        <v>1</v>
      </c>
      <c r="F29" s="17"/>
      <c r="G29" s="18"/>
      <c r="H29" s="17"/>
    </row>
    <row r="30" spans="2:8" x14ac:dyDescent="0.2">
      <c r="B30" s="8" t="s">
        <v>21</v>
      </c>
      <c r="C30" t="s">
        <v>1</v>
      </c>
      <c r="F30" s="17"/>
      <c r="G30" s="18"/>
      <c r="H30" s="17"/>
    </row>
    <row r="31" spans="2:8" x14ac:dyDescent="0.2">
      <c r="B31" s="11" t="s">
        <v>1</v>
      </c>
      <c r="C31" s="11"/>
      <c r="D31" s="11"/>
      <c r="E31" s="11" t="s">
        <v>1</v>
      </c>
      <c r="F31" s="22" t="s">
        <v>1</v>
      </c>
      <c r="G31" s="23"/>
      <c r="H31" s="17" t="s">
        <v>1</v>
      </c>
    </row>
    <row r="32" spans="2:8" x14ac:dyDescent="0.2">
      <c r="B32" s="11"/>
      <c r="C32" s="11"/>
      <c r="D32" s="11"/>
      <c r="E32" s="11"/>
      <c r="F32" s="22"/>
      <c r="G32" s="22"/>
      <c r="H32" s="17"/>
    </row>
    <row r="33" spans="2:8" x14ac:dyDescent="0.2">
      <c r="B33" s="11"/>
      <c r="C33" s="11"/>
      <c r="D33" s="11"/>
      <c r="E33" s="11"/>
      <c r="F33" s="22"/>
      <c r="G33" s="22"/>
      <c r="H33" s="17"/>
    </row>
    <row r="34" spans="2:8" x14ac:dyDescent="0.2">
      <c r="F34" s="17"/>
      <c r="G34" s="17"/>
      <c r="H34" s="17"/>
    </row>
    <row r="35" spans="2:8" x14ac:dyDescent="0.2">
      <c r="F35" s="17"/>
      <c r="G35" s="17"/>
      <c r="H35" s="17"/>
    </row>
    <row r="36" spans="2:8" x14ac:dyDescent="0.2">
      <c r="F36" s="17"/>
      <c r="G36" s="17"/>
      <c r="H36" s="17"/>
    </row>
    <row r="37" spans="2:8" ht="15.75" x14ac:dyDescent="0.25">
      <c r="B37" s="3" t="s">
        <v>23</v>
      </c>
      <c r="C37" s="3"/>
      <c r="D37" s="3"/>
      <c r="E37" s="3"/>
      <c r="F37" s="19"/>
      <c r="G37" s="19"/>
      <c r="H37" s="19">
        <f>SUM(H24:H36)</f>
        <v>577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6F26-E31D-46A2-9EB8-AE560F60BBA0}">
  <sheetPr codeName="Ark15"/>
  <dimension ref="B3:J36"/>
  <sheetViews>
    <sheetView topLeftCell="A3" workbookViewId="0">
      <selection activeCell="J27" sqref="J27"/>
    </sheetView>
  </sheetViews>
  <sheetFormatPr baseColWidth="10" defaultRowHeight="12.75" x14ac:dyDescent="0.2"/>
  <cols>
    <col min="1" max="1" width="7.7109375" customWidth="1"/>
  </cols>
  <sheetData>
    <row r="3" spans="2:8" ht="20.25" x14ac:dyDescent="0.3">
      <c r="B3" s="10" t="s">
        <v>22</v>
      </c>
    </row>
    <row r="5" spans="2:8" x14ac:dyDescent="0.2">
      <c r="B5" s="1" t="s">
        <v>0</v>
      </c>
      <c r="C5" s="49" t="s">
        <v>169</v>
      </c>
      <c r="F5" s="1" t="s">
        <v>19</v>
      </c>
      <c r="G5" s="12" t="s">
        <v>30</v>
      </c>
      <c r="H5" s="13"/>
    </row>
    <row r="6" spans="2:8" x14ac:dyDescent="0.2">
      <c r="B6" s="1" t="s">
        <v>18</v>
      </c>
      <c r="C6" s="4">
        <v>35526</v>
      </c>
      <c r="F6" s="1"/>
      <c r="G6" s="1"/>
      <c r="H6" s="13"/>
    </row>
    <row r="7" spans="2:8" x14ac:dyDescent="0.2">
      <c r="B7" s="1"/>
      <c r="C7" s="14" t="s">
        <v>1</v>
      </c>
      <c r="F7" s="1" t="s">
        <v>10</v>
      </c>
      <c r="G7" s="15">
        <f>Felles!C2</f>
        <v>46265</v>
      </c>
      <c r="H7" s="13"/>
    </row>
    <row r="8" spans="2:8" x14ac:dyDescent="0.2">
      <c r="B8" s="1"/>
    </row>
    <row r="9" spans="2:8" x14ac:dyDescent="0.2">
      <c r="B9" s="8" t="s">
        <v>7</v>
      </c>
      <c r="F9" s="49" t="s">
        <v>170</v>
      </c>
    </row>
    <row r="10" spans="2:8" x14ac:dyDescent="0.2">
      <c r="B10" s="1" t="s">
        <v>8</v>
      </c>
      <c r="C10" s="38" t="s">
        <v>181</v>
      </c>
    </row>
    <row r="11" spans="2:8" x14ac:dyDescent="0.2">
      <c r="B11" s="1" t="s">
        <v>9</v>
      </c>
      <c r="C11" s="11" t="s">
        <v>1</v>
      </c>
      <c r="F11" s="4" t="s">
        <v>96</v>
      </c>
      <c r="G11">
        <v>1600</v>
      </c>
      <c r="H11" s="4" t="s">
        <v>93</v>
      </c>
    </row>
    <row r="12" spans="2:8" x14ac:dyDescent="0.2">
      <c r="B12" s="1"/>
      <c r="F12" s="4" t="s">
        <v>94</v>
      </c>
      <c r="G12">
        <v>33</v>
      </c>
      <c r="H12" s="108" t="s">
        <v>875</v>
      </c>
    </row>
    <row r="13" spans="2:8" x14ac:dyDescent="0.2">
      <c r="B13" s="1" t="s">
        <v>16</v>
      </c>
      <c r="C13" s="38" t="s">
        <v>29</v>
      </c>
    </row>
    <row r="14" spans="2:8" x14ac:dyDescent="0.2">
      <c r="B14" s="1"/>
      <c r="F14" s="44" t="s">
        <v>874</v>
      </c>
    </row>
    <row r="15" spans="2:8" x14ac:dyDescent="0.2">
      <c r="B15" s="1"/>
      <c r="C15" s="13"/>
      <c r="F15" s="57"/>
    </row>
    <row r="16" spans="2:8" x14ac:dyDescent="0.2">
      <c r="B16" s="1" t="s">
        <v>11</v>
      </c>
      <c r="C16" s="13" t="s">
        <v>39</v>
      </c>
    </row>
    <row r="17" spans="2:10" x14ac:dyDescent="0.2">
      <c r="B17" s="1" t="s">
        <v>20</v>
      </c>
      <c r="C17" s="13" t="s">
        <v>1</v>
      </c>
      <c r="F17" s="40"/>
    </row>
    <row r="18" spans="2:10" x14ac:dyDescent="0.2">
      <c r="B18" s="1"/>
      <c r="C18" s="13"/>
      <c r="F18" s="20" t="s">
        <v>177</v>
      </c>
    </row>
    <row r="19" spans="2:10" x14ac:dyDescent="0.2">
      <c r="B19" s="1"/>
      <c r="C19" s="13"/>
    </row>
    <row r="20" spans="2:10" x14ac:dyDescent="0.2">
      <c r="B20" s="1"/>
    </row>
    <row r="21" spans="2:10" x14ac:dyDescent="0.2">
      <c r="B21" s="8" t="s">
        <v>15</v>
      </c>
      <c r="C21" s="2"/>
      <c r="E21" s="21" t="s">
        <v>12</v>
      </c>
      <c r="F21" s="21" t="s">
        <v>13</v>
      </c>
      <c r="G21" s="8"/>
      <c r="H21" s="16" t="s">
        <v>14</v>
      </c>
    </row>
    <row r="22" spans="2:10" x14ac:dyDescent="0.2">
      <c r="H22" s="17"/>
    </row>
    <row r="23" spans="2:10" x14ac:dyDescent="0.2">
      <c r="B23" s="49" t="s">
        <v>54</v>
      </c>
      <c r="D23" t="str">
        <f>Felles!C4</f>
        <v>August</v>
      </c>
      <c r="E23">
        <v>1</v>
      </c>
      <c r="F23" s="17">
        <v>1600</v>
      </c>
      <c r="G23" s="18"/>
      <c r="H23" s="17">
        <f>E23*F23</f>
        <v>1600</v>
      </c>
      <c r="J23" s="1"/>
    </row>
    <row r="24" spans="2:10" x14ac:dyDescent="0.2">
      <c r="B24" s="49" t="s">
        <v>249</v>
      </c>
      <c r="E24">
        <v>0</v>
      </c>
      <c r="F24" s="17">
        <v>0</v>
      </c>
      <c r="G24" s="18"/>
      <c r="H24" s="17">
        <f>E24*F24</f>
        <v>0</v>
      </c>
    </row>
    <row r="25" spans="2:10" x14ac:dyDescent="0.2">
      <c r="B25" s="49"/>
      <c r="F25" s="17"/>
      <c r="G25" s="18"/>
      <c r="H25" s="17"/>
    </row>
    <row r="26" spans="2:10" x14ac:dyDescent="0.2">
      <c r="B26" s="108" t="s">
        <v>554</v>
      </c>
      <c r="F26" s="17"/>
      <c r="G26" s="18"/>
      <c r="H26" s="17"/>
    </row>
    <row r="27" spans="2:10" x14ac:dyDescent="0.2">
      <c r="F27" s="17"/>
      <c r="G27" s="18"/>
      <c r="H27" s="17"/>
    </row>
    <row r="28" spans="2:10" x14ac:dyDescent="0.2">
      <c r="B28" t="s">
        <v>1</v>
      </c>
      <c r="F28" s="17"/>
      <c r="G28" s="18"/>
      <c r="H28" s="17"/>
    </row>
    <row r="29" spans="2:10" x14ac:dyDescent="0.2">
      <c r="B29" s="8" t="s">
        <v>21</v>
      </c>
      <c r="C29" t="s">
        <v>1</v>
      </c>
      <c r="F29" s="17"/>
      <c r="G29" s="18"/>
      <c r="H29" s="17"/>
    </row>
    <row r="30" spans="2:10" x14ac:dyDescent="0.2">
      <c r="B30" s="11" t="s">
        <v>1</v>
      </c>
      <c r="C30" s="11"/>
      <c r="D30" s="11"/>
      <c r="E30" s="11" t="s">
        <v>1</v>
      </c>
      <c r="F30" s="22" t="s">
        <v>1</v>
      </c>
      <c r="G30" s="23"/>
      <c r="H30" s="17" t="s">
        <v>1</v>
      </c>
    </row>
    <row r="31" spans="2:10" x14ac:dyDescent="0.2">
      <c r="B31" s="11"/>
      <c r="C31" s="11"/>
      <c r="D31" s="11"/>
      <c r="E31" s="11"/>
      <c r="F31" s="22"/>
      <c r="G31" s="22"/>
      <c r="H31" s="17"/>
    </row>
    <row r="32" spans="2:10" x14ac:dyDescent="0.2">
      <c r="B32" s="11"/>
      <c r="C32" s="11"/>
      <c r="D32" s="11"/>
      <c r="E32" s="11"/>
      <c r="F32" s="22"/>
      <c r="G32" s="22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x14ac:dyDescent="0.2">
      <c r="F35" s="17"/>
      <c r="G35" s="17"/>
      <c r="H35" s="17"/>
    </row>
    <row r="36" spans="2:8" ht="15.75" x14ac:dyDescent="0.25">
      <c r="B36" s="3" t="s">
        <v>23</v>
      </c>
      <c r="C36" s="3"/>
      <c r="D36" s="3"/>
      <c r="E36" s="3"/>
      <c r="F36" s="19"/>
      <c r="G36" s="19"/>
      <c r="H36" s="19">
        <f>SUM(H23:H35)</f>
        <v>1600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8F27-F86F-4E04-BEF0-E1EC6C0A8005}">
  <sheetPr codeName="Ark16">
    <pageSetUpPr fitToPage="1"/>
  </sheetPr>
  <dimension ref="A2:J55"/>
  <sheetViews>
    <sheetView tabSelected="1" topLeftCell="A20" workbookViewId="0">
      <selection activeCell="I47" sqref="I47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353</v>
      </c>
      <c r="F4" s="1" t="s">
        <v>19</v>
      </c>
      <c r="G4" s="12" t="s">
        <v>1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>
        <v>32952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354</v>
      </c>
    </row>
    <row r="13" spans="2:8" x14ac:dyDescent="0.2">
      <c r="B13" s="1" t="s">
        <v>8</v>
      </c>
      <c r="C13" s="4" t="s">
        <v>356</v>
      </c>
      <c r="F13" t="s">
        <v>1</v>
      </c>
    </row>
    <row r="14" spans="2:8" x14ac:dyDescent="0.2">
      <c r="B14" s="1" t="s">
        <v>9</v>
      </c>
      <c r="C14" s="11">
        <v>19926600</v>
      </c>
    </row>
    <row r="15" spans="2:8" x14ac:dyDescent="0.2">
      <c r="B15" s="1"/>
      <c r="F15" s="44" t="s">
        <v>79</v>
      </c>
      <c r="G15" s="108" t="s">
        <v>579</v>
      </c>
    </row>
    <row r="16" spans="2:8" x14ac:dyDescent="0.2">
      <c r="B16" s="1" t="s">
        <v>16</v>
      </c>
      <c r="C16" s="11" t="s">
        <v>29</v>
      </c>
    </row>
    <row r="17" spans="2:8" x14ac:dyDescent="0.2">
      <c r="B17" s="1"/>
      <c r="F17" t="s">
        <v>1</v>
      </c>
    </row>
    <row r="18" spans="2:8" x14ac:dyDescent="0.2">
      <c r="B18" s="1"/>
      <c r="C18" s="13"/>
    </row>
    <row r="19" spans="2:8" x14ac:dyDescent="0.2">
      <c r="B19" s="1" t="s">
        <v>11</v>
      </c>
      <c r="C19" s="90" t="s">
        <v>355</v>
      </c>
    </row>
    <row r="20" spans="2:8" x14ac:dyDescent="0.2">
      <c r="B20" s="1" t="s">
        <v>20</v>
      </c>
      <c r="C20" s="13" t="s">
        <v>1</v>
      </c>
    </row>
    <row r="21" spans="2:8" x14ac:dyDescent="0.2">
      <c r="B21" s="1"/>
      <c r="C21" s="13"/>
    </row>
    <row r="22" spans="2:8" x14ac:dyDescent="0.2">
      <c r="B22" s="1"/>
      <c r="C22" s="13"/>
    </row>
    <row r="23" spans="2:8" x14ac:dyDescent="0.2">
      <c r="B23" s="1"/>
    </row>
    <row r="24" spans="2:8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8" x14ac:dyDescent="0.2">
      <c r="H25" s="17"/>
    </row>
    <row r="26" spans="2:8" x14ac:dyDescent="0.2">
      <c r="B26" s="49" t="s">
        <v>168</v>
      </c>
      <c r="C26" t="str">
        <f>Felles!C4</f>
        <v>August</v>
      </c>
      <c r="D26" s="108" t="s">
        <v>580</v>
      </c>
      <c r="E26">
        <v>1</v>
      </c>
      <c r="F26" s="17">
        <v>5315</v>
      </c>
      <c r="G26" s="45">
        <v>1</v>
      </c>
      <c r="H26" s="17">
        <f>SUM(F26)*G26</f>
        <v>5315</v>
      </c>
    </row>
    <row r="27" spans="2:8" x14ac:dyDescent="0.2">
      <c r="B27" s="4" t="s">
        <v>357</v>
      </c>
      <c r="E27">
        <v>0</v>
      </c>
      <c r="F27" s="17">
        <v>18</v>
      </c>
      <c r="G27" s="18"/>
      <c r="H27" s="17">
        <f>SUM(E27)*F27</f>
        <v>0</v>
      </c>
    </row>
    <row r="28" spans="2:8" x14ac:dyDescent="0.2">
      <c r="F28" s="17"/>
      <c r="G28" s="18"/>
      <c r="H28" s="17"/>
    </row>
    <row r="29" spans="2:8" x14ac:dyDescent="0.2">
      <c r="B29" s="108" t="s">
        <v>555</v>
      </c>
      <c r="F29" s="17"/>
      <c r="G29" s="18"/>
      <c r="H29" s="17"/>
    </row>
    <row r="30" spans="2:8" x14ac:dyDescent="0.2">
      <c r="F30" s="17"/>
      <c r="G30" s="18"/>
      <c r="H30" s="17"/>
    </row>
    <row r="31" spans="2:8" x14ac:dyDescent="0.2">
      <c r="B31" t="s">
        <v>1</v>
      </c>
      <c r="F31" s="17"/>
      <c r="G31" s="18"/>
      <c r="H31" s="17"/>
    </row>
    <row r="32" spans="2:8" x14ac:dyDescent="0.2">
      <c r="F32" s="17"/>
      <c r="G32" s="17"/>
      <c r="H32" s="17"/>
    </row>
    <row r="33" spans="1:10" x14ac:dyDescent="0.2">
      <c r="F33" s="17"/>
      <c r="G33" s="17"/>
      <c r="H33" s="17"/>
    </row>
    <row r="34" spans="1:10" ht="15.75" x14ac:dyDescent="0.25">
      <c r="B34" s="3" t="s">
        <v>23</v>
      </c>
      <c r="C34" s="3"/>
      <c r="D34" s="3"/>
      <c r="E34" s="3"/>
      <c r="F34" s="19"/>
      <c r="G34" s="19"/>
      <c r="H34" s="19">
        <f>SUM(H26:H33)</f>
        <v>5315</v>
      </c>
    </row>
    <row r="39" spans="1:10" x14ac:dyDescent="0.2">
      <c r="B39" t="s">
        <v>480</v>
      </c>
      <c r="E39" s="40" t="s">
        <v>516</v>
      </c>
    </row>
    <row r="40" spans="1:10" x14ac:dyDescent="0.2">
      <c r="B40" s="33" t="s">
        <v>481</v>
      </c>
    </row>
    <row r="41" spans="1:10" x14ac:dyDescent="0.2">
      <c r="J41" s="190">
        <v>3.2000000000000001E-2</v>
      </c>
    </row>
    <row r="42" spans="1:10" x14ac:dyDescent="0.2">
      <c r="C42" s="2">
        <v>2020</v>
      </c>
      <c r="D42" s="2">
        <v>2021</v>
      </c>
      <c r="E42" s="2">
        <v>2022</v>
      </c>
      <c r="F42" s="2">
        <v>2023</v>
      </c>
      <c r="G42" s="2">
        <v>2024</v>
      </c>
      <c r="H42" s="2">
        <v>2025</v>
      </c>
      <c r="I42" s="2">
        <v>2026</v>
      </c>
    </row>
    <row r="43" spans="1:10" x14ac:dyDescent="0.2">
      <c r="A43" s="4" t="s">
        <v>37</v>
      </c>
      <c r="B43" s="89" t="s">
        <v>195</v>
      </c>
      <c r="C43">
        <v>2360</v>
      </c>
      <c r="D43">
        <v>2410</v>
      </c>
      <c r="E43" s="91">
        <v>2490</v>
      </c>
      <c r="F43">
        <v>2610</v>
      </c>
      <c r="G43" s="92">
        <v>2740</v>
      </c>
      <c r="H43">
        <v>2795</v>
      </c>
      <c r="I43" s="92">
        <v>2885</v>
      </c>
    </row>
    <row r="44" spans="1:10" x14ac:dyDescent="0.2">
      <c r="B44" s="89" t="s">
        <v>318</v>
      </c>
      <c r="C44">
        <v>2700</v>
      </c>
      <c r="D44">
        <v>2750</v>
      </c>
      <c r="E44" s="91">
        <v>2850</v>
      </c>
      <c r="F44">
        <v>2990</v>
      </c>
      <c r="G44" s="92">
        <v>3140</v>
      </c>
      <c r="H44">
        <v>3200</v>
      </c>
      <c r="I44" s="92">
        <v>3303</v>
      </c>
    </row>
    <row r="45" spans="1:10" x14ac:dyDescent="0.2">
      <c r="B45" s="89" t="s">
        <v>51</v>
      </c>
      <c r="C45">
        <v>3070</v>
      </c>
      <c r="D45">
        <v>3130</v>
      </c>
      <c r="E45" s="91">
        <v>3240</v>
      </c>
      <c r="F45">
        <v>3400</v>
      </c>
      <c r="G45" s="92">
        <v>3570</v>
      </c>
      <c r="H45">
        <v>3640</v>
      </c>
      <c r="I45" s="92">
        <v>3756</v>
      </c>
    </row>
    <row r="46" spans="1:10" x14ac:dyDescent="0.2">
      <c r="B46" s="89" t="s">
        <v>52</v>
      </c>
      <c r="C46">
        <v>3510</v>
      </c>
      <c r="D46">
        <v>3580</v>
      </c>
      <c r="E46" s="91">
        <v>3710</v>
      </c>
      <c r="F46">
        <v>3900</v>
      </c>
      <c r="G46" s="92">
        <v>4100</v>
      </c>
      <c r="H46">
        <v>4180</v>
      </c>
      <c r="I46" s="92">
        <v>4314</v>
      </c>
    </row>
    <row r="47" spans="1:10" x14ac:dyDescent="0.2">
      <c r="B47" s="89" t="s">
        <v>53</v>
      </c>
      <c r="C47">
        <v>4330</v>
      </c>
      <c r="D47">
        <v>4420</v>
      </c>
      <c r="E47" s="91">
        <v>4580</v>
      </c>
      <c r="F47">
        <v>4810</v>
      </c>
      <c r="G47" s="92">
        <v>5050</v>
      </c>
      <c r="H47">
        <v>5150</v>
      </c>
      <c r="I47" s="92">
        <v>5315</v>
      </c>
    </row>
    <row r="48" spans="1:10" x14ac:dyDescent="0.2">
      <c r="B48" s="89" t="s">
        <v>55</v>
      </c>
      <c r="C48">
        <v>5131</v>
      </c>
      <c r="D48">
        <v>5230</v>
      </c>
      <c r="E48" s="91">
        <v>5410</v>
      </c>
      <c r="F48">
        <v>5680</v>
      </c>
      <c r="G48" s="92">
        <v>5960</v>
      </c>
      <c r="H48">
        <v>6080</v>
      </c>
      <c r="I48" s="92">
        <v>6275</v>
      </c>
    </row>
    <row r="49" spans="2:9" x14ac:dyDescent="0.2">
      <c r="B49" s="89" t="s">
        <v>56</v>
      </c>
      <c r="C49">
        <v>5960</v>
      </c>
      <c r="D49">
        <v>6080</v>
      </c>
      <c r="E49" s="91">
        <v>6290</v>
      </c>
      <c r="F49">
        <v>6610</v>
      </c>
      <c r="G49" s="92">
        <v>6940</v>
      </c>
      <c r="H49">
        <v>7080</v>
      </c>
      <c r="I49" s="92">
        <v>7306</v>
      </c>
    </row>
    <row r="50" spans="2:9" x14ac:dyDescent="0.2">
      <c r="B50" s="89" t="s">
        <v>57</v>
      </c>
      <c r="C50">
        <v>6760</v>
      </c>
      <c r="D50">
        <v>6900</v>
      </c>
      <c r="E50" s="91">
        <v>7140</v>
      </c>
      <c r="F50">
        <v>7520</v>
      </c>
      <c r="G50" s="92">
        <v>7890</v>
      </c>
      <c r="H50">
        <v>8050</v>
      </c>
      <c r="I50">
        <v>8308</v>
      </c>
    </row>
    <row r="51" spans="2:9" x14ac:dyDescent="0.2">
      <c r="B51" s="89" t="s">
        <v>58</v>
      </c>
      <c r="C51">
        <v>7580</v>
      </c>
      <c r="D51">
        <v>7730</v>
      </c>
      <c r="E51" s="91">
        <v>8000</v>
      </c>
      <c r="F51">
        <v>8400</v>
      </c>
      <c r="G51" s="92">
        <v>8820</v>
      </c>
      <c r="H51">
        <v>8990</v>
      </c>
      <c r="I51">
        <v>9278</v>
      </c>
    </row>
    <row r="52" spans="2:9" x14ac:dyDescent="0.2">
      <c r="B52" s="89" t="s">
        <v>59</v>
      </c>
      <c r="C52">
        <v>8390</v>
      </c>
      <c r="D52">
        <v>8560</v>
      </c>
      <c r="E52" s="91">
        <v>8860</v>
      </c>
      <c r="F52">
        <v>9300</v>
      </c>
      <c r="G52" s="92">
        <v>9870</v>
      </c>
      <c r="H52">
        <v>10070</v>
      </c>
      <c r="I52">
        <v>10392</v>
      </c>
    </row>
    <row r="53" spans="2:9" x14ac:dyDescent="0.2">
      <c r="B53" s="89" t="s">
        <v>60</v>
      </c>
      <c r="C53">
        <v>9190</v>
      </c>
      <c r="D53">
        <v>9370</v>
      </c>
      <c r="E53" s="91">
        <v>9690</v>
      </c>
      <c r="F53">
        <v>10170</v>
      </c>
      <c r="G53" s="92">
        <v>10670</v>
      </c>
      <c r="H53">
        <v>10880</v>
      </c>
      <c r="I53">
        <v>11228</v>
      </c>
    </row>
    <row r="54" spans="2:9" x14ac:dyDescent="0.2">
      <c r="B54" s="4" t="s">
        <v>501</v>
      </c>
      <c r="C54" s="4" t="s">
        <v>1</v>
      </c>
    </row>
    <row r="55" spans="2:9" x14ac:dyDescent="0.2">
      <c r="B55" s="4" t="s">
        <v>502</v>
      </c>
      <c r="C55" s="30" t="s">
        <v>477</v>
      </c>
      <c r="D55" s="86" t="s">
        <v>477</v>
      </c>
      <c r="E55" s="86" t="s">
        <v>478</v>
      </c>
      <c r="F55" s="86" t="s">
        <v>479</v>
      </c>
      <c r="G55" s="86" t="s">
        <v>476</v>
      </c>
      <c r="H55">
        <v>17</v>
      </c>
      <c r="I55">
        <v>18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99FF-919E-4FD1-AC5C-69051AE83651}">
  <sheetPr codeName="Ark17">
    <pageSetUpPr fitToPage="1"/>
  </sheetPr>
  <dimension ref="B2:O60"/>
  <sheetViews>
    <sheetView topLeftCell="A3" workbookViewId="0">
      <selection activeCell="G29" sqref="G29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107</v>
      </c>
      <c r="F4" s="1" t="s">
        <v>19</v>
      </c>
      <c r="G4" s="12" t="s">
        <v>1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>
        <v>31896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108</v>
      </c>
    </row>
    <row r="13" spans="2:8" x14ac:dyDescent="0.2">
      <c r="B13" s="1" t="s">
        <v>8</v>
      </c>
      <c r="C13" s="4" t="s">
        <v>497</v>
      </c>
      <c r="F13" t="s">
        <v>1</v>
      </c>
    </row>
    <row r="14" spans="2:8" x14ac:dyDescent="0.2">
      <c r="B14" s="1" t="s">
        <v>9</v>
      </c>
      <c r="C14" s="11" t="s">
        <v>1</v>
      </c>
    </row>
    <row r="15" spans="2:8" x14ac:dyDescent="0.2">
      <c r="B15" s="1"/>
      <c r="F15" t="s">
        <v>37</v>
      </c>
    </row>
    <row r="16" spans="2:8" x14ac:dyDescent="0.2">
      <c r="B16" s="1" t="s">
        <v>16</v>
      </c>
      <c r="C16" s="11" t="s">
        <v>29</v>
      </c>
    </row>
    <row r="17" spans="2:15" x14ac:dyDescent="0.2">
      <c r="B17" s="1"/>
      <c r="F17" t="s">
        <v>305</v>
      </c>
    </row>
    <row r="18" spans="2:15" x14ac:dyDescent="0.2">
      <c r="B18" s="1"/>
      <c r="C18" s="13"/>
    </row>
    <row r="19" spans="2:15" x14ac:dyDescent="0.2">
      <c r="B19" s="1" t="s">
        <v>11</v>
      </c>
      <c r="C19" s="13" t="s">
        <v>39</v>
      </c>
      <c r="F19" s="4" t="s">
        <v>400</v>
      </c>
    </row>
    <row r="20" spans="2:15" x14ac:dyDescent="0.2">
      <c r="B20" s="1" t="s">
        <v>20</v>
      </c>
      <c r="C20" s="13" t="s">
        <v>1</v>
      </c>
    </row>
    <row r="21" spans="2:15" x14ac:dyDescent="0.2">
      <c r="B21" s="1"/>
      <c r="C21" s="13"/>
    </row>
    <row r="22" spans="2:15" x14ac:dyDescent="0.2">
      <c r="B22" s="1"/>
      <c r="C22" s="13"/>
    </row>
    <row r="23" spans="2:15" x14ac:dyDescent="0.2">
      <c r="B23" s="1"/>
    </row>
    <row r="24" spans="2:15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K24" s="86"/>
      <c r="L24" s="86"/>
      <c r="N24" s="86"/>
      <c r="O24" s="162">
        <v>2026</v>
      </c>
    </row>
    <row r="25" spans="2:15" ht="15" x14ac:dyDescent="0.25">
      <c r="H25" s="17"/>
      <c r="J25" s="163" t="s">
        <v>785</v>
      </c>
      <c r="K25" s="163" t="s">
        <v>786</v>
      </c>
      <c r="L25" s="163"/>
      <c r="M25" s="164"/>
      <c r="N25" s="165"/>
      <c r="O25" s="166" t="s">
        <v>787</v>
      </c>
    </row>
    <row r="26" spans="2:15" ht="15" x14ac:dyDescent="0.25">
      <c r="B26" s="49" t="s">
        <v>168</v>
      </c>
      <c r="D26" t="str">
        <f>Felles!C4</f>
        <v>August</v>
      </c>
      <c r="E26">
        <v>1</v>
      </c>
      <c r="F26" s="17">
        <v>2960</v>
      </c>
      <c r="G26" s="45">
        <v>1</v>
      </c>
      <c r="H26" s="17">
        <f>SUM(F26)*G26</f>
        <v>2960</v>
      </c>
      <c r="J26" s="163"/>
      <c r="K26" s="163"/>
      <c r="L26" s="163"/>
      <c r="M26" s="164"/>
      <c r="N26" s="165"/>
      <c r="O26" s="166"/>
    </row>
    <row r="27" spans="2:15" ht="15" x14ac:dyDescent="0.25">
      <c r="F27" s="17"/>
      <c r="G27" s="18"/>
      <c r="H27" s="17"/>
      <c r="J27" s="86">
        <v>1</v>
      </c>
      <c r="K27" s="86">
        <v>99</v>
      </c>
      <c r="L27" s="86"/>
      <c r="N27" s="167"/>
      <c r="O27" s="168">
        <v>2960</v>
      </c>
    </row>
    <row r="28" spans="2:15" ht="15" x14ac:dyDescent="0.25">
      <c r="B28" s="108" t="s">
        <v>556</v>
      </c>
      <c r="F28" s="17"/>
      <c r="G28" s="18"/>
      <c r="H28" s="17"/>
      <c r="J28">
        <v>100</v>
      </c>
      <c r="K28">
        <v>149</v>
      </c>
      <c r="N28" s="167"/>
      <c r="O28" s="168">
        <v>3580</v>
      </c>
    </row>
    <row r="29" spans="2:15" ht="15" x14ac:dyDescent="0.25">
      <c r="F29" s="17"/>
      <c r="G29" s="18"/>
      <c r="H29" s="17"/>
      <c r="J29">
        <v>150</v>
      </c>
      <c r="K29">
        <v>199</v>
      </c>
      <c r="N29" s="167"/>
      <c r="O29" s="168">
        <v>4090</v>
      </c>
    </row>
    <row r="30" spans="2:15" ht="15" x14ac:dyDescent="0.25">
      <c r="F30" s="17"/>
      <c r="G30" s="18"/>
      <c r="H30" s="17"/>
      <c r="J30">
        <v>200</v>
      </c>
      <c r="K30">
        <v>249</v>
      </c>
      <c r="N30" s="167"/>
      <c r="O30" s="168">
        <v>4670</v>
      </c>
    </row>
    <row r="31" spans="2:15" ht="15" x14ac:dyDescent="0.25">
      <c r="B31" t="s">
        <v>1</v>
      </c>
      <c r="F31" s="17"/>
      <c r="G31" s="18"/>
      <c r="H31" s="17"/>
      <c r="J31">
        <v>250</v>
      </c>
      <c r="K31">
        <v>299</v>
      </c>
      <c r="L31" s="86"/>
      <c r="N31" s="167"/>
      <c r="O31" s="168">
        <v>5760</v>
      </c>
    </row>
    <row r="32" spans="2:15" ht="15" x14ac:dyDescent="0.25">
      <c r="B32" s="8" t="s">
        <v>21</v>
      </c>
      <c r="C32" t="s">
        <v>1</v>
      </c>
      <c r="F32" s="17"/>
      <c r="G32" s="18"/>
      <c r="H32" s="17"/>
      <c r="J32">
        <v>300</v>
      </c>
      <c r="K32">
        <v>349</v>
      </c>
      <c r="N32" s="167"/>
      <c r="O32" s="168">
        <v>6830</v>
      </c>
    </row>
    <row r="33" spans="2:15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J33">
        <v>350</v>
      </c>
      <c r="K33">
        <v>399</v>
      </c>
      <c r="N33" s="167"/>
      <c r="O33" s="168">
        <v>7920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J34">
        <v>400</v>
      </c>
      <c r="K34">
        <v>449</v>
      </c>
      <c r="N34" s="167"/>
      <c r="O34" s="168">
        <v>8980</v>
      </c>
    </row>
    <row r="35" spans="2:15" ht="15" x14ac:dyDescent="0.25">
      <c r="B35" s="11"/>
      <c r="C35" s="11"/>
      <c r="D35" s="11"/>
      <c r="E35" s="11"/>
      <c r="F35" s="22"/>
      <c r="G35" s="22"/>
      <c r="H35" s="17"/>
      <c r="J35">
        <v>450</v>
      </c>
      <c r="K35">
        <v>499</v>
      </c>
      <c r="N35" s="167"/>
      <c r="O35" s="168">
        <v>10080</v>
      </c>
    </row>
    <row r="36" spans="2:15" ht="15" x14ac:dyDescent="0.25">
      <c r="F36" s="17"/>
      <c r="G36" s="17"/>
      <c r="H36" s="17"/>
      <c r="J36">
        <v>500</v>
      </c>
      <c r="K36">
        <v>549</v>
      </c>
      <c r="N36" s="167"/>
      <c r="O36" s="168">
        <v>11150</v>
      </c>
    </row>
    <row r="37" spans="2:15" ht="15" x14ac:dyDescent="0.25">
      <c r="F37" s="17"/>
      <c r="G37" s="17"/>
      <c r="H37" s="17"/>
      <c r="J37">
        <v>550</v>
      </c>
      <c r="K37">
        <v>599</v>
      </c>
      <c r="N37" s="167"/>
      <c r="O37" s="168">
        <v>12200</v>
      </c>
    </row>
    <row r="38" spans="2:15" ht="15" x14ac:dyDescent="0.25">
      <c r="F38" s="17"/>
      <c r="G38" s="17"/>
      <c r="H38" s="17"/>
      <c r="J38">
        <v>600</v>
      </c>
      <c r="K38">
        <v>649</v>
      </c>
      <c r="N38" s="167"/>
      <c r="O38" s="168">
        <v>13260</v>
      </c>
    </row>
    <row r="39" spans="2:15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2960</v>
      </c>
      <c r="J39">
        <v>650</v>
      </c>
      <c r="K39">
        <v>699</v>
      </c>
      <c r="N39" s="167"/>
      <c r="O39" s="168">
        <v>14360</v>
      </c>
    </row>
    <row r="40" spans="2:15" ht="15" x14ac:dyDescent="0.25">
      <c r="J40">
        <v>700</v>
      </c>
      <c r="K40">
        <v>749</v>
      </c>
      <c r="N40" s="167"/>
      <c r="O40" s="168">
        <v>15430</v>
      </c>
    </row>
    <row r="41" spans="2:15" ht="15" x14ac:dyDescent="0.25">
      <c r="J41">
        <v>750</v>
      </c>
      <c r="K41">
        <v>799</v>
      </c>
      <c r="N41" s="167"/>
      <c r="O41" s="168">
        <v>16530</v>
      </c>
    </row>
    <row r="42" spans="2:15" ht="15" x14ac:dyDescent="0.25">
      <c r="J42">
        <v>800</v>
      </c>
      <c r="K42">
        <v>849</v>
      </c>
      <c r="N42" s="167"/>
      <c r="O42" s="168">
        <v>17590</v>
      </c>
    </row>
    <row r="43" spans="2:15" ht="15" x14ac:dyDescent="0.25">
      <c r="J43">
        <v>850</v>
      </c>
      <c r="K43">
        <v>899</v>
      </c>
      <c r="N43" s="167"/>
      <c r="O43" s="168">
        <v>18680</v>
      </c>
    </row>
    <row r="44" spans="2:15" ht="15" x14ac:dyDescent="0.25">
      <c r="J44">
        <v>900</v>
      </c>
      <c r="K44">
        <v>949</v>
      </c>
      <c r="N44" s="167"/>
      <c r="O44" s="168">
        <v>19750</v>
      </c>
    </row>
    <row r="45" spans="2:15" ht="15" x14ac:dyDescent="0.25">
      <c r="J45">
        <v>950</v>
      </c>
      <c r="K45">
        <v>999</v>
      </c>
      <c r="N45" s="167"/>
      <c r="O45" s="168">
        <v>20820</v>
      </c>
    </row>
    <row r="46" spans="2:15" ht="15" x14ac:dyDescent="0.25">
      <c r="J46">
        <v>1000</v>
      </c>
      <c r="K46">
        <v>1099</v>
      </c>
      <c r="N46" s="167"/>
      <c r="O46" s="168">
        <v>23000</v>
      </c>
    </row>
    <row r="47" spans="2:15" ht="15" x14ac:dyDescent="0.25">
      <c r="J47">
        <v>1100</v>
      </c>
      <c r="K47">
        <v>1199</v>
      </c>
      <c r="N47" s="167"/>
      <c r="O47" s="168">
        <v>24100</v>
      </c>
    </row>
    <row r="48" spans="2:15" ht="15" x14ac:dyDescent="0.25">
      <c r="J48">
        <v>1200</v>
      </c>
      <c r="K48">
        <v>1299</v>
      </c>
      <c r="N48" s="167"/>
      <c r="O48" s="168">
        <v>26260</v>
      </c>
    </row>
    <row r="49" spans="10:15" ht="15" x14ac:dyDescent="0.25">
      <c r="J49">
        <v>1300</v>
      </c>
      <c r="K49">
        <v>1399</v>
      </c>
      <c r="N49" s="167"/>
      <c r="O49" s="168">
        <v>28400</v>
      </c>
    </row>
    <row r="50" spans="10:15" ht="15" x14ac:dyDescent="0.25">
      <c r="J50">
        <v>1400</v>
      </c>
      <c r="K50">
        <v>1499</v>
      </c>
      <c r="N50" s="167"/>
      <c r="O50" s="168">
        <v>30240</v>
      </c>
    </row>
    <row r="51" spans="10:15" ht="15" x14ac:dyDescent="0.25">
      <c r="J51">
        <v>1500</v>
      </c>
      <c r="K51">
        <v>1599</v>
      </c>
      <c r="N51" s="167"/>
      <c r="O51" s="168">
        <v>32710</v>
      </c>
    </row>
    <row r="52" spans="10:15" ht="15" x14ac:dyDescent="0.25">
      <c r="J52">
        <v>1600</v>
      </c>
      <c r="K52">
        <v>1699</v>
      </c>
      <c r="N52" s="167"/>
      <c r="O52" s="168">
        <v>34890</v>
      </c>
    </row>
    <row r="53" spans="10:15" ht="15" x14ac:dyDescent="0.25">
      <c r="J53">
        <v>1700</v>
      </c>
      <c r="K53">
        <v>1799</v>
      </c>
      <c r="N53" s="167"/>
      <c r="O53" s="168">
        <v>37060</v>
      </c>
    </row>
    <row r="54" spans="10:15" ht="15" x14ac:dyDescent="0.25">
      <c r="J54">
        <v>1800</v>
      </c>
      <c r="K54">
        <v>1899</v>
      </c>
      <c r="N54" s="167"/>
      <c r="O54" s="168">
        <v>39200</v>
      </c>
    </row>
    <row r="55" spans="10:15" ht="15" x14ac:dyDescent="0.25">
      <c r="J55">
        <v>1900</v>
      </c>
      <c r="K55">
        <v>1999</v>
      </c>
      <c r="N55" s="167"/>
      <c r="O55" s="168">
        <v>41380</v>
      </c>
    </row>
    <row r="56" spans="10:15" ht="15" x14ac:dyDescent="0.25">
      <c r="J56">
        <v>2000</v>
      </c>
      <c r="K56">
        <v>2099</v>
      </c>
      <c r="N56" s="167"/>
      <c r="O56" s="168">
        <v>43500</v>
      </c>
    </row>
    <row r="57" spans="10:15" ht="15" x14ac:dyDescent="0.25">
      <c r="J57">
        <v>2100</v>
      </c>
      <c r="K57">
        <v>2199</v>
      </c>
      <c r="N57" s="167"/>
      <c r="O57" s="168">
        <v>45650</v>
      </c>
    </row>
    <row r="58" spans="10:15" ht="15" x14ac:dyDescent="0.25">
      <c r="J58">
        <v>2200</v>
      </c>
      <c r="K58">
        <v>2299</v>
      </c>
      <c r="N58" s="167"/>
      <c r="O58" s="168">
        <v>47850</v>
      </c>
    </row>
    <row r="59" spans="10:15" ht="15" x14ac:dyDescent="0.25">
      <c r="J59">
        <v>2300</v>
      </c>
      <c r="K59">
        <v>2399</v>
      </c>
      <c r="N59" s="167"/>
      <c r="O59" s="168">
        <v>49980</v>
      </c>
    </row>
    <row r="60" spans="10:15" ht="15" x14ac:dyDescent="0.25">
      <c r="J60">
        <v>2400</v>
      </c>
      <c r="K60">
        <v>2499</v>
      </c>
      <c r="N60" s="167"/>
      <c r="O60" s="168">
        <v>52160</v>
      </c>
    </row>
  </sheetData>
  <phoneticPr fontId="2" type="noConversion"/>
  <pageMargins left="0.75" right="0.75" top="1" bottom="1" header="0.5" footer="0.5"/>
  <pageSetup paperSize="9" scale="96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8EDF-CDE9-4F09-B786-47D761BE73E4}">
  <dimension ref="A3:J144"/>
  <sheetViews>
    <sheetView workbookViewId="0">
      <selection activeCell="M51" sqref="M51"/>
    </sheetView>
  </sheetViews>
  <sheetFormatPr baseColWidth="10" defaultRowHeight="12.75" x14ac:dyDescent="0.2"/>
  <sheetData>
    <row r="3" spans="1:7" ht="20.25" x14ac:dyDescent="0.3">
      <c r="A3" s="10" t="s">
        <v>22</v>
      </c>
    </row>
    <row r="5" spans="1:7" x14ac:dyDescent="0.2">
      <c r="A5" s="1" t="s">
        <v>0</v>
      </c>
      <c r="B5" s="150" t="s">
        <v>614</v>
      </c>
      <c r="E5" s="1" t="s">
        <v>19</v>
      </c>
      <c r="F5" s="12" t="s">
        <v>30</v>
      </c>
      <c r="G5" s="13"/>
    </row>
    <row r="6" spans="1:7" x14ac:dyDescent="0.2">
      <c r="A6" s="1" t="s">
        <v>18</v>
      </c>
      <c r="B6" s="4">
        <v>33192</v>
      </c>
      <c r="E6" s="1"/>
      <c r="F6" s="1"/>
      <c r="G6" s="13"/>
    </row>
    <row r="7" spans="1:7" x14ac:dyDescent="0.2">
      <c r="A7" s="1"/>
      <c r="B7" s="14" t="s">
        <v>1</v>
      </c>
      <c r="E7" s="1" t="s">
        <v>10</v>
      </c>
      <c r="F7" s="15">
        <v>45962</v>
      </c>
      <c r="G7" s="13"/>
    </row>
    <row r="8" spans="1:7" x14ac:dyDescent="0.2">
      <c r="A8" s="1"/>
    </row>
    <row r="9" spans="1:7" x14ac:dyDescent="0.2">
      <c r="A9" s="8" t="s">
        <v>7</v>
      </c>
      <c r="E9" s="150" t="s">
        <v>615</v>
      </c>
    </row>
    <row r="10" spans="1:7" x14ac:dyDescent="0.2">
      <c r="A10" s="1" t="s">
        <v>8</v>
      </c>
      <c r="B10" s="112" t="s">
        <v>608</v>
      </c>
    </row>
    <row r="11" spans="1:7" x14ac:dyDescent="0.2">
      <c r="A11" s="1" t="s">
        <v>9</v>
      </c>
      <c r="B11" s="11" t="s">
        <v>1</v>
      </c>
      <c r="E11" s="4" t="s">
        <v>96</v>
      </c>
      <c r="G11" s="4" t="s">
        <v>93</v>
      </c>
    </row>
    <row r="12" spans="1:7" x14ac:dyDescent="0.2">
      <c r="A12" s="1"/>
      <c r="E12" s="4" t="s">
        <v>94</v>
      </c>
      <c r="G12" s="4"/>
    </row>
    <row r="13" spans="1:7" x14ac:dyDescent="0.2">
      <c r="A13" s="1" t="s">
        <v>16</v>
      </c>
      <c r="B13" s="38" t="s">
        <v>29</v>
      </c>
    </row>
    <row r="14" spans="1:7" x14ac:dyDescent="0.2">
      <c r="A14" s="1"/>
      <c r="E14" s="44"/>
    </row>
    <row r="15" spans="1:7" x14ac:dyDescent="0.2">
      <c r="A15" s="1"/>
      <c r="B15" s="13"/>
      <c r="E15" s="57" t="s">
        <v>1</v>
      </c>
    </row>
    <row r="16" spans="1:7" x14ac:dyDescent="0.2">
      <c r="A16" s="1" t="s">
        <v>11</v>
      </c>
      <c r="B16" s="13" t="s">
        <v>39</v>
      </c>
    </row>
    <row r="17" spans="1:10" x14ac:dyDescent="0.2">
      <c r="A17" s="1" t="s">
        <v>20</v>
      </c>
      <c r="B17" s="13" t="s">
        <v>1</v>
      </c>
      <c r="E17" s="40" t="s">
        <v>172</v>
      </c>
    </row>
    <row r="18" spans="1:10" x14ac:dyDescent="0.2">
      <c r="A18" s="1"/>
      <c r="B18" s="13"/>
      <c r="E18" s="150" t="s">
        <v>616</v>
      </c>
    </row>
    <row r="19" spans="1:10" x14ac:dyDescent="0.2">
      <c r="A19" s="1"/>
      <c r="B19" s="13"/>
    </row>
    <row r="20" spans="1:10" x14ac:dyDescent="0.2">
      <c r="A20" s="1"/>
    </row>
    <row r="21" spans="1:10" ht="15" x14ac:dyDescent="0.25">
      <c r="A21" s="8" t="s">
        <v>15</v>
      </c>
      <c r="B21" s="2"/>
      <c r="D21" s="21" t="s">
        <v>12</v>
      </c>
      <c r="E21" s="21" t="s">
        <v>13</v>
      </c>
      <c r="F21" s="8"/>
      <c r="G21" s="16" t="s">
        <v>14</v>
      </c>
      <c r="I21" s="169" t="s">
        <v>660</v>
      </c>
      <c r="J21" s="169" t="s">
        <v>661</v>
      </c>
    </row>
    <row r="22" spans="1:10" x14ac:dyDescent="0.2">
      <c r="G22" s="17"/>
      <c r="I22" s="170" t="s">
        <v>662</v>
      </c>
      <c r="J22" s="171">
        <v>1500</v>
      </c>
    </row>
    <row r="23" spans="1:10" x14ac:dyDescent="0.2">
      <c r="A23" s="49" t="s">
        <v>54</v>
      </c>
      <c r="C23" s="108" t="s">
        <v>656</v>
      </c>
      <c r="D23">
        <v>1</v>
      </c>
      <c r="E23" s="17">
        <v>1500</v>
      </c>
      <c r="F23" s="18"/>
      <c r="G23" s="17">
        <f>D23*E23</f>
        <v>1500</v>
      </c>
      <c r="I23" s="172" t="s">
        <v>663</v>
      </c>
      <c r="J23" s="173">
        <v>2280</v>
      </c>
    </row>
    <row r="24" spans="1:10" x14ac:dyDescent="0.2">
      <c r="A24" s="49"/>
      <c r="E24" s="17"/>
      <c r="F24" s="18"/>
      <c r="G24" s="17"/>
      <c r="I24" s="170" t="s">
        <v>664</v>
      </c>
      <c r="J24" s="171">
        <v>2870</v>
      </c>
    </row>
    <row r="25" spans="1:10" x14ac:dyDescent="0.2">
      <c r="A25" s="49"/>
      <c r="E25" s="17"/>
      <c r="F25" s="18"/>
      <c r="G25" s="17"/>
      <c r="I25" s="172" t="s">
        <v>665</v>
      </c>
      <c r="J25" s="173">
        <v>3260</v>
      </c>
    </row>
    <row r="26" spans="1:10" x14ac:dyDescent="0.2">
      <c r="A26" s="108" t="s">
        <v>617</v>
      </c>
      <c r="E26" s="17"/>
      <c r="F26" s="18"/>
      <c r="G26" s="17"/>
      <c r="I26" s="170" t="s">
        <v>666</v>
      </c>
      <c r="J26" s="171">
        <v>3450</v>
      </c>
    </row>
    <row r="27" spans="1:10" x14ac:dyDescent="0.2">
      <c r="E27" s="17"/>
      <c r="F27" s="18"/>
      <c r="G27" s="17"/>
      <c r="I27" s="172" t="s">
        <v>667</v>
      </c>
      <c r="J27" s="173">
        <v>3810</v>
      </c>
    </row>
    <row r="28" spans="1:10" x14ac:dyDescent="0.2">
      <c r="A28" t="s">
        <v>1</v>
      </c>
      <c r="E28" s="17"/>
      <c r="F28" s="18"/>
      <c r="G28" s="17"/>
      <c r="I28" s="170" t="s">
        <v>668</v>
      </c>
      <c r="J28" s="171">
        <v>4020</v>
      </c>
    </row>
    <row r="29" spans="1:10" x14ac:dyDescent="0.2">
      <c r="A29" s="8" t="s">
        <v>21</v>
      </c>
      <c r="B29" t="s">
        <v>1</v>
      </c>
      <c r="E29" s="17"/>
      <c r="F29" s="18"/>
      <c r="G29" s="17"/>
      <c r="I29" s="172" t="s">
        <v>669</v>
      </c>
      <c r="J29" s="173">
        <v>4260</v>
      </c>
    </row>
    <row r="30" spans="1:10" x14ac:dyDescent="0.2">
      <c r="A30" s="11" t="s">
        <v>1</v>
      </c>
      <c r="B30" s="11"/>
      <c r="C30" s="11"/>
      <c r="D30" s="11" t="s">
        <v>1</v>
      </c>
      <c r="E30" s="22" t="s">
        <v>1</v>
      </c>
      <c r="F30" s="23"/>
      <c r="G30" s="17" t="s">
        <v>1</v>
      </c>
      <c r="I30" s="170" t="s">
        <v>670</v>
      </c>
      <c r="J30" s="171">
        <v>4490</v>
      </c>
    </row>
    <row r="31" spans="1:10" x14ac:dyDescent="0.2">
      <c r="A31" s="11"/>
      <c r="B31" s="11"/>
      <c r="C31" s="11"/>
      <c r="D31" s="11"/>
      <c r="E31" s="22"/>
      <c r="F31" s="22"/>
      <c r="G31" s="17"/>
      <c r="I31" s="172" t="s">
        <v>671</v>
      </c>
      <c r="J31" s="173">
        <v>4860</v>
      </c>
    </row>
    <row r="32" spans="1:10" x14ac:dyDescent="0.2">
      <c r="A32" s="11"/>
      <c r="B32" s="11"/>
      <c r="C32" s="11"/>
      <c r="D32" s="11"/>
      <c r="E32" s="22"/>
      <c r="F32" s="22"/>
      <c r="G32" s="17"/>
      <c r="I32" s="170" t="s">
        <v>672</v>
      </c>
      <c r="J32" s="171">
        <v>5280</v>
      </c>
    </row>
    <row r="33" spans="1:10" x14ac:dyDescent="0.2">
      <c r="E33" s="17"/>
      <c r="F33" s="17"/>
      <c r="G33" s="17"/>
      <c r="I33" s="172" t="s">
        <v>673</v>
      </c>
      <c r="J33" s="173">
        <v>5690</v>
      </c>
    </row>
    <row r="34" spans="1:10" x14ac:dyDescent="0.2">
      <c r="E34" s="17"/>
      <c r="F34" s="17"/>
      <c r="G34" s="17"/>
      <c r="I34" s="170" t="s">
        <v>674</v>
      </c>
      <c r="J34" s="171">
        <v>6100</v>
      </c>
    </row>
    <row r="35" spans="1:10" x14ac:dyDescent="0.2">
      <c r="E35" s="17"/>
      <c r="F35" s="17"/>
      <c r="G35" s="17"/>
      <c r="I35" s="172" t="s">
        <v>675</v>
      </c>
      <c r="J35" s="173">
        <v>6520</v>
      </c>
    </row>
    <row r="36" spans="1:10" ht="15.75" x14ac:dyDescent="0.25">
      <c r="A36" s="3" t="s">
        <v>23</v>
      </c>
      <c r="B36" s="3"/>
      <c r="C36" s="3"/>
      <c r="D36" s="3"/>
      <c r="E36" s="19"/>
      <c r="F36" s="19"/>
      <c r="G36" s="19">
        <f>SUM(G23:G35)</f>
        <v>1500</v>
      </c>
      <c r="I36" s="170" t="s">
        <v>676</v>
      </c>
      <c r="J36" s="171">
        <v>6940</v>
      </c>
    </row>
    <row r="37" spans="1:10" x14ac:dyDescent="0.2">
      <c r="I37" s="172" t="s">
        <v>677</v>
      </c>
      <c r="J37" s="173">
        <v>7370</v>
      </c>
    </row>
    <row r="38" spans="1:10" x14ac:dyDescent="0.2">
      <c r="A38" s="108" t="s">
        <v>618</v>
      </c>
      <c r="I38" s="170" t="s">
        <v>678</v>
      </c>
      <c r="J38" s="171">
        <v>7790</v>
      </c>
    </row>
    <row r="39" spans="1:10" x14ac:dyDescent="0.2">
      <c r="B39" s="108" t="s">
        <v>99</v>
      </c>
      <c r="C39" s="108" t="s">
        <v>619</v>
      </c>
      <c r="I39" s="172" t="s">
        <v>679</v>
      </c>
      <c r="J39" s="173">
        <v>8200</v>
      </c>
    </row>
    <row r="40" spans="1:10" x14ac:dyDescent="0.2">
      <c r="B40" s="108" t="s">
        <v>620</v>
      </c>
      <c r="C40">
        <v>1500</v>
      </c>
      <c r="I40" s="170" t="s">
        <v>680</v>
      </c>
      <c r="J40" s="171">
        <v>8610</v>
      </c>
    </row>
    <row r="41" spans="1:10" x14ac:dyDescent="0.2">
      <c r="B41" s="108" t="s">
        <v>621</v>
      </c>
      <c r="C41">
        <v>2280</v>
      </c>
      <c r="I41" s="172" t="s">
        <v>681</v>
      </c>
      <c r="J41" s="173">
        <v>9020</v>
      </c>
    </row>
    <row r="42" spans="1:10" x14ac:dyDescent="0.2">
      <c r="B42" s="108" t="s">
        <v>622</v>
      </c>
      <c r="C42">
        <v>2870</v>
      </c>
      <c r="I42" s="170" t="s">
        <v>682</v>
      </c>
      <c r="J42" s="171">
        <v>9440</v>
      </c>
    </row>
    <row r="43" spans="1:10" x14ac:dyDescent="0.2">
      <c r="B43" s="108" t="s">
        <v>623</v>
      </c>
      <c r="C43">
        <v>3260</v>
      </c>
      <c r="I43" s="172" t="s">
        <v>683</v>
      </c>
      <c r="J43" s="173">
        <v>9860</v>
      </c>
    </row>
    <row r="44" spans="1:10" x14ac:dyDescent="0.2">
      <c r="B44" s="108" t="s">
        <v>624</v>
      </c>
      <c r="C44">
        <v>3450</v>
      </c>
      <c r="I44" s="170" t="s">
        <v>684</v>
      </c>
      <c r="J44" s="171">
        <v>10280</v>
      </c>
    </row>
    <row r="45" spans="1:10" x14ac:dyDescent="0.2">
      <c r="B45" s="108" t="s">
        <v>625</v>
      </c>
      <c r="C45">
        <v>3810</v>
      </c>
      <c r="I45" s="172" t="s">
        <v>685</v>
      </c>
      <c r="J45" s="173">
        <v>10700</v>
      </c>
    </row>
    <row r="46" spans="1:10" x14ac:dyDescent="0.2">
      <c r="B46" s="108" t="s">
        <v>626</v>
      </c>
      <c r="C46">
        <v>4020</v>
      </c>
      <c r="I46" s="170" t="s">
        <v>686</v>
      </c>
      <c r="J46" s="171">
        <v>11120</v>
      </c>
    </row>
    <row r="47" spans="1:10" x14ac:dyDescent="0.2">
      <c r="B47" s="108" t="s">
        <v>627</v>
      </c>
      <c r="C47">
        <v>4260</v>
      </c>
      <c r="I47" s="172" t="s">
        <v>687</v>
      </c>
      <c r="J47" s="173">
        <v>11530</v>
      </c>
    </row>
    <row r="48" spans="1:10" x14ac:dyDescent="0.2">
      <c r="B48" s="108" t="s">
        <v>628</v>
      </c>
      <c r="C48">
        <v>4490</v>
      </c>
      <c r="I48" s="170" t="s">
        <v>688</v>
      </c>
      <c r="J48" s="171">
        <v>11940</v>
      </c>
    </row>
    <row r="49" spans="9:10" x14ac:dyDescent="0.2">
      <c r="I49" s="172" t="s">
        <v>689</v>
      </c>
      <c r="J49" s="173">
        <v>12350</v>
      </c>
    </row>
    <row r="50" spans="9:10" x14ac:dyDescent="0.2">
      <c r="I50" s="170" t="s">
        <v>690</v>
      </c>
      <c r="J50" s="171">
        <v>12760</v>
      </c>
    </row>
    <row r="51" spans="9:10" x14ac:dyDescent="0.2">
      <c r="I51" s="172" t="s">
        <v>691</v>
      </c>
      <c r="J51" s="173">
        <v>13180</v>
      </c>
    </row>
    <row r="52" spans="9:10" x14ac:dyDescent="0.2">
      <c r="I52" s="170" t="s">
        <v>692</v>
      </c>
      <c r="J52" s="171">
        <v>13610</v>
      </c>
    </row>
    <row r="53" spans="9:10" x14ac:dyDescent="0.2">
      <c r="I53" s="172" t="s">
        <v>693</v>
      </c>
      <c r="J53" s="173">
        <v>14030</v>
      </c>
    </row>
    <row r="54" spans="9:10" x14ac:dyDescent="0.2">
      <c r="I54" s="170" t="s">
        <v>694</v>
      </c>
      <c r="J54" s="171">
        <v>14450</v>
      </c>
    </row>
    <row r="55" spans="9:10" x14ac:dyDescent="0.2">
      <c r="I55" s="172" t="s">
        <v>695</v>
      </c>
      <c r="J55" s="173">
        <v>14870</v>
      </c>
    </row>
    <row r="56" spans="9:10" x14ac:dyDescent="0.2">
      <c r="I56" s="170" t="s">
        <v>696</v>
      </c>
      <c r="J56" s="171">
        <v>15290</v>
      </c>
    </row>
    <row r="57" spans="9:10" x14ac:dyDescent="0.2">
      <c r="I57" s="172" t="s">
        <v>697</v>
      </c>
      <c r="J57" s="173">
        <v>15710</v>
      </c>
    </row>
    <row r="58" spans="9:10" x14ac:dyDescent="0.2">
      <c r="I58" s="170" t="s">
        <v>698</v>
      </c>
      <c r="J58" s="171">
        <v>16130</v>
      </c>
    </row>
    <row r="59" spans="9:10" x14ac:dyDescent="0.2">
      <c r="I59" s="172" t="s">
        <v>699</v>
      </c>
      <c r="J59" s="173">
        <v>16540</v>
      </c>
    </row>
    <row r="60" spans="9:10" x14ac:dyDescent="0.2">
      <c r="I60" s="170" t="s">
        <v>700</v>
      </c>
      <c r="J60" s="171">
        <v>16960</v>
      </c>
    </row>
    <row r="61" spans="9:10" x14ac:dyDescent="0.2">
      <c r="I61" s="172" t="s">
        <v>701</v>
      </c>
      <c r="J61" s="173">
        <v>17380</v>
      </c>
    </row>
    <row r="62" spans="9:10" x14ac:dyDescent="0.2">
      <c r="I62" s="170" t="s">
        <v>702</v>
      </c>
      <c r="J62" s="171">
        <v>17800</v>
      </c>
    </row>
    <row r="63" spans="9:10" x14ac:dyDescent="0.2">
      <c r="I63" s="172" t="s">
        <v>703</v>
      </c>
      <c r="J63" s="173">
        <v>18220</v>
      </c>
    </row>
    <row r="64" spans="9:10" x14ac:dyDescent="0.2">
      <c r="I64" s="170" t="s">
        <v>704</v>
      </c>
      <c r="J64" s="171">
        <v>18640</v>
      </c>
    </row>
    <row r="65" spans="9:10" x14ac:dyDescent="0.2">
      <c r="I65" s="172" t="s">
        <v>705</v>
      </c>
      <c r="J65" s="173">
        <v>19060</v>
      </c>
    </row>
    <row r="66" spans="9:10" x14ac:dyDescent="0.2">
      <c r="I66" s="170" t="s">
        <v>706</v>
      </c>
      <c r="J66" s="171">
        <v>19470</v>
      </c>
    </row>
    <row r="67" spans="9:10" x14ac:dyDescent="0.2">
      <c r="I67" s="172" t="s">
        <v>707</v>
      </c>
      <c r="J67" s="173">
        <v>19880</v>
      </c>
    </row>
    <row r="68" spans="9:10" x14ac:dyDescent="0.2">
      <c r="I68" s="170" t="s">
        <v>708</v>
      </c>
      <c r="J68" s="171">
        <v>20330</v>
      </c>
    </row>
    <row r="69" spans="9:10" x14ac:dyDescent="0.2">
      <c r="I69" s="172" t="s">
        <v>709</v>
      </c>
      <c r="J69" s="173">
        <v>20900</v>
      </c>
    </row>
    <row r="70" spans="9:10" x14ac:dyDescent="0.2">
      <c r="I70" s="170" t="s">
        <v>710</v>
      </c>
      <c r="J70" s="171">
        <v>21470</v>
      </c>
    </row>
    <row r="71" spans="9:10" x14ac:dyDescent="0.2">
      <c r="I71" s="172" t="s">
        <v>711</v>
      </c>
      <c r="J71" s="173">
        <v>22040</v>
      </c>
    </row>
    <row r="72" spans="9:10" x14ac:dyDescent="0.2">
      <c r="I72" s="170" t="s">
        <v>712</v>
      </c>
      <c r="J72" s="171">
        <v>22430</v>
      </c>
    </row>
    <row r="73" spans="9:10" x14ac:dyDescent="0.2">
      <c r="I73" s="172" t="s">
        <v>713</v>
      </c>
      <c r="J73" s="173">
        <v>22640</v>
      </c>
    </row>
    <row r="74" spans="9:10" x14ac:dyDescent="0.2">
      <c r="I74" s="170" t="s">
        <v>714</v>
      </c>
      <c r="J74" s="171">
        <v>22860</v>
      </c>
    </row>
    <row r="75" spans="9:10" x14ac:dyDescent="0.2">
      <c r="I75" s="172" t="s">
        <v>715</v>
      </c>
      <c r="J75" s="173">
        <v>23070</v>
      </c>
    </row>
    <row r="76" spans="9:10" x14ac:dyDescent="0.2">
      <c r="I76" s="170" t="s">
        <v>716</v>
      </c>
      <c r="J76" s="171">
        <v>23280</v>
      </c>
    </row>
    <row r="77" spans="9:10" x14ac:dyDescent="0.2">
      <c r="I77" s="172" t="s">
        <v>717</v>
      </c>
      <c r="J77" s="173">
        <v>23600</v>
      </c>
    </row>
    <row r="78" spans="9:10" x14ac:dyDescent="0.2">
      <c r="I78" s="170" t="s">
        <v>718</v>
      </c>
      <c r="J78" s="171">
        <v>24010</v>
      </c>
    </row>
    <row r="79" spans="9:10" x14ac:dyDescent="0.2">
      <c r="I79" s="172" t="s">
        <v>719</v>
      </c>
      <c r="J79" s="173">
        <v>24430</v>
      </c>
    </row>
    <row r="80" spans="9:10" x14ac:dyDescent="0.2">
      <c r="I80" s="170" t="s">
        <v>720</v>
      </c>
      <c r="J80" s="171">
        <v>24850</v>
      </c>
    </row>
    <row r="81" spans="9:10" x14ac:dyDescent="0.2">
      <c r="I81" s="172" t="s">
        <v>721</v>
      </c>
      <c r="J81" s="173">
        <v>25260</v>
      </c>
    </row>
    <row r="82" spans="9:10" x14ac:dyDescent="0.2">
      <c r="I82" s="170" t="s">
        <v>722</v>
      </c>
      <c r="J82" s="171">
        <v>25680</v>
      </c>
    </row>
    <row r="83" spans="9:10" x14ac:dyDescent="0.2">
      <c r="I83" s="172" t="s">
        <v>723</v>
      </c>
      <c r="J83" s="173">
        <v>26090</v>
      </c>
    </row>
    <row r="84" spans="9:10" x14ac:dyDescent="0.2">
      <c r="I84" s="170" t="s">
        <v>724</v>
      </c>
      <c r="J84" s="171">
        <v>26510</v>
      </c>
    </row>
    <row r="85" spans="9:10" x14ac:dyDescent="0.2">
      <c r="I85" s="172" t="s">
        <v>725</v>
      </c>
      <c r="J85" s="173">
        <v>26930</v>
      </c>
    </row>
    <row r="86" spans="9:10" x14ac:dyDescent="0.2">
      <c r="I86" s="170" t="s">
        <v>726</v>
      </c>
      <c r="J86" s="171">
        <v>27340</v>
      </c>
    </row>
    <row r="87" spans="9:10" x14ac:dyDescent="0.2">
      <c r="I87" s="172" t="s">
        <v>727</v>
      </c>
      <c r="J87" s="173">
        <v>27730</v>
      </c>
    </row>
    <row r="88" spans="9:10" x14ac:dyDescent="0.2">
      <c r="I88" s="170" t="s">
        <v>728</v>
      </c>
      <c r="J88" s="171">
        <v>28080</v>
      </c>
    </row>
    <row r="89" spans="9:10" x14ac:dyDescent="0.2">
      <c r="I89" s="172" t="s">
        <v>729</v>
      </c>
      <c r="J89" s="173">
        <v>28440</v>
      </c>
    </row>
    <row r="90" spans="9:10" x14ac:dyDescent="0.2">
      <c r="I90" s="170" t="s">
        <v>730</v>
      </c>
      <c r="J90" s="171">
        <v>28800</v>
      </c>
    </row>
    <row r="91" spans="9:10" x14ac:dyDescent="0.2">
      <c r="I91" s="172" t="s">
        <v>731</v>
      </c>
      <c r="J91" s="173">
        <v>29150</v>
      </c>
    </row>
    <row r="92" spans="9:10" x14ac:dyDescent="0.2">
      <c r="I92" s="170" t="s">
        <v>732</v>
      </c>
      <c r="J92" s="171">
        <v>29570</v>
      </c>
    </row>
    <row r="93" spans="9:10" x14ac:dyDescent="0.2">
      <c r="I93" s="172" t="s">
        <v>733</v>
      </c>
      <c r="J93" s="173">
        <v>30050</v>
      </c>
    </row>
    <row r="94" spans="9:10" x14ac:dyDescent="0.2">
      <c r="I94" s="170" t="s">
        <v>734</v>
      </c>
      <c r="J94" s="171">
        <v>30530</v>
      </c>
    </row>
    <row r="95" spans="9:10" x14ac:dyDescent="0.2">
      <c r="I95" s="172" t="s">
        <v>735</v>
      </c>
      <c r="J95" s="173">
        <v>31010</v>
      </c>
    </row>
    <row r="96" spans="9:10" x14ac:dyDescent="0.2">
      <c r="I96" s="170" t="s">
        <v>736</v>
      </c>
      <c r="J96" s="171">
        <v>31490</v>
      </c>
    </row>
    <row r="97" spans="9:10" x14ac:dyDescent="0.2">
      <c r="I97" s="172" t="s">
        <v>737</v>
      </c>
      <c r="J97" s="173">
        <v>31940</v>
      </c>
    </row>
    <row r="98" spans="9:10" x14ac:dyDescent="0.2">
      <c r="I98" s="170" t="s">
        <v>738</v>
      </c>
      <c r="J98" s="171">
        <v>32360</v>
      </c>
    </row>
    <row r="99" spans="9:10" x14ac:dyDescent="0.2">
      <c r="I99" s="172" t="s">
        <v>739</v>
      </c>
      <c r="J99" s="173">
        <v>32780</v>
      </c>
    </row>
    <row r="100" spans="9:10" x14ac:dyDescent="0.2">
      <c r="I100" s="170" t="s">
        <v>740</v>
      </c>
      <c r="J100" s="171">
        <v>33210</v>
      </c>
    </row>
    <row r="101" spans="9:10" x14ac:dyDescent="0.2">
      <c r="I101" s="172" t="s">
        <v>741</v>
      </c>
      <c r="J101" s="173">
        <v>33630</v>
      </c>
    </row>
    <row r="102" spans="9:10" x14ac:dyDescent="0.2">
      <c r="I102" s="170" t="s">
        <v>742</v>
      </c>
      <c r="J102" s="171">
        <v>34050</v>
      </c>
    </row>
    <row r="103" spans="9:10" x14ac:dyDescent="0.2">
      <c r="I103" s="172" t="s">
        <v>743</v>
      </c>
      <c r="J103" s="173">
        <v>34470</v>
      </c>
    </row>
    <row r="104" spans="9:10" x14ac:dyDescent="0.2">
      <c r="I104" s="170" t="s">
        <v>744</v>
      </c>
      <c r="J104" s="171">
        <v>34900</v>
      </c>
    </row>
    <row r="105" spans="9:10" x14ac:dyDescent="0.2">
      <c r="I105" s="172" t="s">
        <v>745</v>
      </c>
      <c r="J105" s="173">
        <v>35320</v>
      </c>
    </row>
    <row r="106" spans="9:10" x14ac:dyDescent="0.2">
      <c r="I106" s="170" t="s">
        <v>746</v>
      </c>
      <c r="J106" s="171">
        <v>35740</v>
      </c>
    </row>
    <row r="107" spans="9:10" x14ac:dyDescent="0.2">
      <c r="I107" s="172" t="s">
        <v>747</v>
      </c>
      <c r="J107" s="173">
        <v>36160</v>
      </c>
    </row>
    <row r="108" spans="9:10" x14ac:dyDescent="0.2">
      <c r="I108" s="170" t="s">
        <v>748</v>
      </c>
      <c r="J108" s="171">
        <v>36580</v>
      </c>
    </row>
    <row r="109" spans="9:10" x14ac:dyDescent="0.2">
      <c r="I109" s="172" t="s">
        <v>749</v>
      </c>
      <c r="J109" s="173">
        <v>37000</v>
      </c>
    </row>
    <row r="110" spans="9:10" x14ac:dyDescent="0.2">
      <c r="I110" s="170" t="s">
        <v>750</v>
      </c>
      <c r="J110" s="171">
        <v>37410</v>
      </c>
    </row>
    <row r="111" spans="9:10" x14ac:dyDescent="0.2">
      <c r="I111" s="172" t="s">
        <v>751</v>
      </c>
      <c r="J111" s="173">
        <v>37830</v>
      </c>
    </row>
    <row r="112" spans="9:10" x14ac:dyDescent="0.2">
      <c r="I112" s="170" t="s">
        <v>752</v>
      </c>
      <c r="J112" s="171">
        <v>38250</v>
      </c>
    </row>
    <row r="113" spans="9:10" x14ac:dyDescent="0.2">
      <c r="I113" s="172" t="s">
        <v>753</v>
      </c>
      <c r="J113" s="173">
        <v>38670</v>
      </c>
    </row>
    <row r="114" spans="9:10" x14ac:dyDescent="0.2">
      <c r="I114" s="170" t="s">
        <v>754</v>
      </c>
      <c r="J114" s="171">
        <v>39080</v>
      </c>
    </row>
    <row r="115" spans="9:10" x14ac:dyDescent="0.2">
      <c r="I115" s="172" t="s">
        <v>755</v>
      </c>
      <c r="J115" s="173">
        <v>39500</v>
      </c>
    </row>
    <row r="116" spans="9:10" x14ac:dyDescent="0.2">
      <c r="I116" s="170" t="s">
        <v>756</v>
      </c>
      <c r="J116" s="171">
        <v>39920</v>
      </c>
    </row>
    <row r="117" spans="9:10" x14ac:dyDescent="0.2">
      <c r="I117" s="172" t="s">
        <v>757</v>
      </c>
      <c r="J117" s="173">
        <v>40340</v>
      </c>
    </row>
    <row r="118" spans="9:10" x14ac:dyDescent="0.2">
      <c r="I118" s="170" t="s">
        <v>758</v>
      </c>
      <c r="J118" s="171">
        <v>40750</v>
      </c>
    </row>
    <row r="119" spans="9:10" x14ac:dyDescent="0.2">
      <c r="I119" s="172" t="s">
        <v>759</v>
      </c>
      <c r="J119" s="173">
        <v>41160</v>
      </c>
    </row>
    <row r="120" spans="9:10" x14ac:dyDescent="0.2">
      <c r="I120" s="170" t="s">
        <v>760</v>
      </c>
      <c r="J120" s="171">
        <v>41580</v>
      </c>
    </row>
    <row r="121" spans="9:10" x14ac:dyDescent="0.2">
      <c r="I121" s="172" t="s">
        <v>761</v>
      </c>
      <c r="J121" s="173">
        <v>41990</v>
      </c>
    </row>
    <row r="122" spans="9:10" x14ac:dyDescent="0.2">
      <c r="I122" s="170" t="s">
        <v>762</v>
      </c>
      <c r="J122" s="171">
        <v>42410</v>
      </c>
    </row>
    <row r="123" spans="9:10" x14ac:dyDescent="0.2">
      <c r="I123" s="172" t="s">
        <v>763</v>
      </c>
      <c r="J123" s="173">
        <v>42820</v>
      </c>
    </row>
    <row r="124" spans="9:10" x14ac:dyDescent="0.2">
      <c r="I124" s="170" t="s">
        <v>764</v>
      </c>
      <c r="J124" s="171">
        <v>43240</v>
      </c>
    </row>
    <row r="125" spans="9:10" x14ac:dyDescent="0.2">
      <c r="I125" s="172" t="s">
        <v>765</v>
      </c>
      <c r="J125" s="173">
        <v>43660</v>
      </c>
    </row>
    <row r="126" spans="9:10" x14ac:dyDescent="0.2">
      <c r="I126" s="170" t="s">
        <v>766</v>
      </c>
      <c r="J126" s="171">
        <v>44070</v>
      </c>
    </row>
    <row r="127" spans="9:10" x14ac:dyDescent="0.2">
      <c r="I127" s="172" t="s">
        <v>767</v>
      </c>
      <c r="J127" s="173">
        <v>44490</v>
      </c>
    </row>
    <row r="128" spans="9:10" x14ac:dyDescent="0.2">
      <c r="I128" s="170" t="s">
        <v>768</v>
      </c>
      <c r="J128" s="171">
        <v>44920</v>
      </c>
    </row>
    <row r="129" spans="9:10" x14ac:dyDescent="0.2">
      <c r="I129" s="172" t="s">
        <v>769</v>
      </c>
      <c r="J129" s="173">
        <v>45340</v>
      </c>
    </row>
    <row r="130" spans="9:10" x14ac:dyDescent="0.2">
      <c r="I130" s="170" t="s">
        <v>770</v>
      </c>
      <c r="J130" s="171">
        <v>45770</v>
      </c>
    </row>
    <row r="131" spans="9:10" x14ac:dyDescent="0.2">
      <c r="I131" s="172" t="s">
        <v>771</v>
      </c>
      <c r="J131" s="173">
        <v>46200</v>
      </c>
    </row>
    <row r="132" spans="9:10" x14ac:dyDescent="0.2">
      <c r="I132" s="170" t="s">
        <v>772</v>
      </c>
      <c r="J132" s="171">
        <v>46620</v>
      </c>
    </row>
    <row r="133" spans="9:10" x14ac:dyDescent="0.2">
      <c r="I133" s="172" t="s">
        <v>773</v>
      </c>
      <c r="J133" s="173">
        <v>47030</v>
      </c>
    </row>
    <row r="134" spans="9:10" x14ac:dyDescent="0.2">
      <c r="I134" s="170" t="s">
        <v>774</v>
      </c>
      <c r="J134" s="171">
        <v>47440</v>
      </c>
    </row>
    <row r="135" spans="9:10" x14ac:dyDescent="0.2">
      <c r="I135" s="172" t="s">
        <v>775</v>
      </c>
      <c r="J135" s="173">
        <v>47860</v>
      </c>
    </row>
    <row r="136" spans="9:10" x14ac:dyDescent="0.2">
      <c r="I136" s="170" t="s">
        <v>776</v>
      </c>
      <c r="J136" s="171">
        <v>48270</v>
      </c>
    </row>
    <row r="137" spans="9:10" x14ac:dyDescent="0.2">
      <c r="I137" s="172" t="s">
        <v>777</v>
      </c>
      <c r="J137" s="173">
        <v>48690</v>
      </c>
    </row>
    <row r="138" spans="9:10" x14ac:dyDescent="0.2">
      <c r="I138" s="170" t="s">
        <v>778</v>
      </c>
      <c r="J138" s="171">
        <v>49110</v>
      </c>
    </row>
    <row r="139" spans="9:10" x14ac:dyDescent="0.2">
      <c r="I139" s="172" t="s">
        <v>779</v>
      </c>
      <c r="J139" s="173">
        <v>49540</v>
      </c>
    </row>
    <row r="140" spans="9:10" x14ac:dyDescent="0.2">
      <c r="I140" s="170" t="s">
        <v>780</v>
      </c>
      <c r="J140" s="171">
        <v>49960</v>
      </c>
    </row>
    <row r="141" spans="9:10" x14ac:dyDescent="0.2">
      <c r="I141" s="172" t="s">
        <v>781</v>
      </c>
      <c r="J141" s="173">
        <v>50380</v>
      </c>
    </row>
    <row r="142" spans="9:10" x14ac:dyDescent="0.2">
      <c r="I142" s="170" t="s">
        <v>782</v>
      </c>
      <c r="J142" s="171">
        <v>50800</v>
      </c>
    </row>
    <row r="143" spans="9:10" x14ac:dyDescent="0.2">
      <c r="I143" s="172" t="s">
        <v>783</v>
      </c>
      <c r="J143" s="173">
        <v>51220</v>
      </c>
    </row>
    <row r="144" spans="9:10" x14ac:dyDescent="0.2">
      <c r="I144" s="170" t="s">
        <v>784</v>
      </c>
      <c r="J144" s="171">
        <v>51540</v>
      </c>
    </row>
  </sheetData>
  <hyperlinks>
    <hyperlink ref="E15" r:id="rId1" display="bes@bes.no" xr:uid="{CDA295AA-B88B-4B94-8086-76C997D688E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CE8F-570D-4E6D-A0A3-DFBA0844E140}">
  <sheetPr codeName="Ark20">
    <pageSetUpPr fitToPage="1"/>
  </sheetPr>
  <dimension ref="A2:N56"/>
  <sheetViews>
    <sheetView workbookViewId="0">
      <selection activeCell="N23" sqref="I23:N23"/>
    </sheetView>
  </sheetViews>
  <sheetFormatPr baseColWidth="10" defaultRowHeight="12.75" x14ac:dyDescent="0.2"/>
  <cols>
    <col min="2" max="2" width="13.28515625" customWidth="1"/>
    <col min="5" max="5" width="13.140625" customWidth="1"/>
  </cols>
  <sheetData>
    <row r="2" spans="1:6" x14ac:dyDescent="0.2">
      <c r="A2" t="s">
        <v>22</v>
      </c>
    </row>
    <row r="4" spans="1:6" x14ac:dyDescent="0.2">
      <c r="A4" t="s">
        <v>0</v>
      </c>
      <c r="B4" s="1" t="s">
        <v>125</v>
      </c>
      <c r="E4" t="s">
        <v>19</v>
      </c>
      <c r="F4" t="s">
        <v>30</v>
      </c>
    </row>
    <row r="5" spans="1:6" x14ac:dyDescent="0.2">
      <c r="A5" t="s">
        <v>18</v>
      </c>
      <c r="B5">
        <v>3232</v>
      </c>
    </row>
    <row r="6" spans="1:6" x14ac:dyDescent="0.2">
      <c r="B6" t="s">
        <v>1</v>
      </c>
      <c r="E6" t="s">
        <v>10</v>
      </c>
      <c r="F6" s="15">
        <f>Felles!C2</f>
        <v>46265</v>
      </c>
    </row>
    <row r="8" spans="1:6" x14ac:dyDescent="0.2">
      <c r="A8" t="s">
        <v>7</v>
      </c>
    </row>
    <row r="9" spans="1:6" x14ac:dyDescent="0.2">
      <c r="A9" t="s">
        <v>8</v>
      </c>
      <c r="B9" s="1" t="s">
        <v>311</v>
      </c>
      <c r="E9" t="s">
        <v>1</v>
      </c>
    </row>
    <row r="10" spans="1:6" x14ac:dyDescent="0.2">
      <c r="A10" t="s">
        <v>9</v>
      </c>
      <c r="B10" s="44">
        <v>990</v>
      </c>
      <c r="E10" s="48" t="s">
        <v>127</v>
      </c>
    </row>
    <row r="11" spans="1:6" x14ac:dyDescent="0.2">
      <c r="E11" s="4" t="s">
        <v>128</v>
      </c>
    </row>
    <row r="12" spans="1:6" x14ac:dyDescent="0.2">
      <c r="A12" t="s">
        <v>16</v>
      </c>
      <c r="B12" t="s">
        <v>29</v>
      </c>
      <c r="E12" s="4"/>
    </row>
    <row r="15" spans="1:6" x14ac:dyDescent="0.2">
      <c r="A15" t="s">
        <v>11</v>
      </c>
      <c r="B15" t="s">
        <v>39</v>
      </c>
      <c r="E15" s="49" t="s">
        <v>123</v>
      </c>
    </row>
    <row r="16" spans="1:6" x14ac:dyDescent="0.2">
      <c r="A16" t="s">
        <v>20</v>
      </c>
      <c r="B16" t="s">
        <v>1</v>
      </c>
      <c r="E16" s="4" t="s">
        <v>124</v>
      </c>
    </row>
    <row r="17" spans="1:14" x14ac:dyDescent="0.2">
      <c r="E17" s="130" t="s">
        <v>175</v>
      </c>
    </row>
    <row r="20" spans="1:14" ht="15" x14ac:dyDescent="0.25">
      <c r="A20" s="1" t="s">
        <v>15</v>
      </c>
      <c r="B20" s="1"/>
      <c r="C20" s="1"/>
      <c r="D20" s="1" t="s">
        <v>12</v>
      </c>
      <c r="E20" s="1" t="s">
        <v>13</v>
      </c>
      <c r="F20" s="1"/>
      <c r="G20" s="1" t="s">
        <v>14</v>
      </c>
      <c r="J20" s="86"/>
      <c r="K20" s="86"/>
      <c r="M20" s="86"/>
      <c r="N20" s="162">
        <v>2026</v>
      </c>
    </row>
    <row r="21" spans="1:14" ht="15" x14ac:dyDescent="0.25">
      <c r="I21" s="163" t="s">
        <v>785</v>
      </c>
      <c r="J21" s="163" t="s">
        <v>786</v>
      </c>
      <c r="K21" s="163"/>
      <c r="L21" s="164"/>
      <c r="M21" s="165"/>
      <c r="N21" s="166" t="s">
        <v>787</v>
      </c>
    </row>
    <row r="22" spans="1:14" ht="15" x14ac:dyDescent="0.25">
      <c r="A22" s="49" t="s">
        <v>87</v>
      </c>
      <c r="C22" t="str">
        <f>Felles!C4</f>
        <v>August</v>
      </c>
      <c r="D22">
        <v>1</v>
      </c>
      <c r="E22">
        <v>3580</v>
      </c>
      <c r="G22">
        <v>3580</v>
      </c>
      <c r="I22" s="163"/>
      <c r="J22" s="163"/>
      <c r="K22" s="163"/>
      <c r="L22" s="164"/>
      <c r="M22" s="165"/>
      <c r="N22" s="166"/>
    </row>
    <row r="23" spans="1:14" ht="15" x14ac:dyDescent="0.25">
      <c r="A23" t="s">
        <v>1</v>
      </c>
      <c r="D23" t="s">
        <v>1</v>
      </c>
      <c r="E23" t="s">
        <v>1</v>
      </c>
      <c r="G23" t="s">
        <v>1</v>
      </c>
      <c r="I23" s="86">
        <v>1</v>
      </c>
      <c r="J23" s="86">
        <v>99</v>
      </c>
      <c r="K23" s="86"/>
      <c r="M23" s="167"/>
      <c r="N23" s="168">
        <v>2960</v>
      </c>
    </row>
    <row r="24" spans="1:14" ht="15" x14ac:dyDescent="0.25">
      <c r="I24">
        <v>100</v>
      </c>
      <c r="J24">
        <v>149</v>
      </c>
      <c r="M24" s="167"/>
      <c r="N24" s="168">
        <v>3580</v>
      </c>
    </row>
    <row r="25" spans="1:14" ht="15" x14ac:dyDescent="0.25">
      <c r="I25">
        <v>150</v>
      </c>
      <c r="J25">
        <v>199</v>
      </c>
      <c r="M25" s="167"/>
      <c r="N25" s="168">
        <v>4090</v>
      </c>
    </row>
    <row r="26" spans="1:14" ht="15" x14ac:dyDescent="0.25">
      <c r="I26">
        <v>200</v>
      </c>
      <c r="J26">
        <v>249</v>
      </c>
      <c r="M26" s="167"/>
      <c r="N26" s="168">
        <v>4670</v>
      </c>
    </row>
    <row r="27" spans="1:14" ht="15" x14ac:dyDescent="0.25">
      <c r="I27">
        <v>250</v>
      </c>
      <c r="J27">
        <v>299</v>
      </c>
      <c r="K27" s="86"/>
      <c r="M27" s="167"/>
      <c r="N27" s="168">
        <v>5760</v>
      </c>
    </row>
    <row r="28" spans="1:14" ht="15" x14ac:dyDescent="0.25">
      <c r="I28">
        <v>300</v>
      </c>
      <c r="J28">
        <v>349</v>
      </c>
      <c r="M28" s="167"/>
      <c r="N28" s="168">
        <v>6830</v>
      </c>
    </row>
    <row r="29" spans="1:14" ht="15" x14ac:dyDescent="0.25">
      <c r="I29">
        <v>350</v>
      </c>
      <c r="J29">
        <v>399</v>
      </c>
      <c r="M29" s="167"/>
      <c r="N29" s="168">
        <v>7920</v>
      </c>
    </row>
    <row r="30" spans="1:14" ht="15" x14ac:dyDescent="0.25">
      <c r="I30">
        <v>400</v>
      </c>
      <c r="J30">
        <v>449</v>
      </c>
      <c r="M30" s="167"/>
      <c r="N30" s="168">
        <v>8980</v>
      </c>
    </row>
    <row r="31" spans="1:14" ht="15" x14ac:dyDescent="0.25">
      <c r="I31">
        <v>450</v>
      </c>
      <c r="J31">
        <v>499</v>
      </c>
      <c r="M31" s="167"/>
      <c r="N31" s="168">
        <v>10080</v>
      </c>
    </row>
    <row r="32" spans="1:14" ht="15" x14ac:dyDescent="0.25">
      <c r="I32">
        <v>500</v>
      </c>
      <c r="J32">
        <v>549</v>
      </c>
      <c r="M32" s="167"/>
      <c r="N32" s="168">
        <v>11150</v>
      </c>
    </row>
    <row r="33" spans="9:14" ht="15" x14ac:dyDescent="0.25">
      <c r="I33">
        <v>550</v>
      </c>
      <c r="J33">
        <v>599</v>
      </c>
      <c r="M33" s="167"/>
      <c r="N33" s="168">
        <v>12200</v>
      </c>
    </row>
    <row r="34" spans="9:14" ht="15" x14ac:dyDescent="0.25">
      <c r="I34">
        <v>600</v>
      </c>
      <c r="J34">
        <v>649</v>
      </c>
      <c r="M34" s="167"/>
      <c r="N34" s="168">
        <v>13260</v>
      </c>
    </row>
    <row r="35" spans="9:14" ht="15" x14ac:dyDescent="0.25">
      <c r="I35">
        <v>650</v>
      </c>
      <c r="J35">
        <v>699</v>
      </c>
      <c r="M35" s="167"/>
      <c r="N35" s="168">
        <v>14360</v>
      </c>
    </row>
    <row r="36" spans="9:14" ht="15" x14ac:dyDescent="0.25">
      <c r="I36">
        <v>700</v>
      </c>
      <c r="J36">
        <v>749</v>
      </c>
      <c r="M36" s="167"/>
      <c r="N36" s="168">
        <v>15430</v>
      </c>
    </row>
    <row r="37" spans="9:14" ht="15" x14ac:dyDescent="0.25">
      <c r="I37">
        <v>750</v>
      </c>
      <c r="J37">
        <v>799</v>
      </c>
      <c r="M37" s="167"/>
      <c r="N37" s="168">
        <v>16530</v>
      </c>
    </row>
    <row r="38" spans="9:14" ht="15" x14ac:dyDescent="0.25">
      <c r="I38">
        <v>800</v>
      </c>
      <c r="J38">
        <v>849</v>
      </c>
      <c r="M38" s="167"/>
      <c r="N38" s="168">
        <v>17590</v>
      </c>
    </row>
    <row r="39" spans="9:14" ht="15" x14ac:dyDescent="0.25">
      <c r="I39">
        <v>850</v>
      </c>
      <c r="J39">
        <v>899</v>
      </c>
      <c r="M39" s="167"/>
      <c r="N39" s="168">
        <v>18680</v>
      </c>
    </row>
    <row r="40" spans="9:14" ht="15" x14ac:dyDescent="0.25">
      <c r="I40">
        <v>900</v>
      </c>
      <c r="J40">
        <v>949</v>
      </c>
      <c r="M40" s="167"/>
      <c r="N40" s="168">
        <v>19750</v>
      </c>
    </row>
    <row r="41" spans="9:14" ht="15" x14ac:dyDescent="0.25">
      <c r="I41">
        <v>950</v>
      </c>
      <c r="J41">
        <v>999</v>
      </c>
      <c r="M41" s="167"/>
      <c r="N41" s="168">
        <v>20820</v>
      </c>
    </row>
    <row r="42" spans="9:14" ht="15" x14ac:dyDescent="0.25">
      <c r="I42">
        <v>1000</v>
      </c>
      <c r="J42">
        <v>1099</v>
      </c>
      <c r="M42" s="167"/>
      <c r="N42" s="168">
        <v>23000</v>
      </c>
    </row>
    <row r="43" spans="9:14" ht="15" x14ac:dyDescent="0.25">
      <c r="I43">
        <v>1100</v>
      </c>
      <c r="J43">
        <v>1199</v>
      </c>
      <c r="M43" s="167"/>
      <c r="N43" s="168">
        <v>24100</v>
      </c>
    </row>
    <row r="44" spans="9:14" ht="15" x14ac:dyDescent="0.25">
      <c r="I44">
        <v>1200</v>
      </c>
      <c r="J44">
        <v>1299</v>
      </c>
      <c r="M44" s="167"/>
      <c r="N44" s="168">
        <v>26260</v>
      </c>
    </row>
    <row r="45" spans="9:14" ht="15" x14ac:dyDescent="0.25">
      <c r="I45">
        <v>1300</v>
      </c>
      <c r="J45">
        <v>1399</v>
      </c>
      <c r="M45" s="167"/>
      <c r="N45" s="168">
        <v>28400</v>
      </c>
    </row>
    <row r="46" spans="9:14" ht="15" x14ac:dyDescent="0.25">
      <c r="I46">
        <v>1400</v>
      </c>
      <c r="J46">
        <v>1499</v>
      </c>
      <c r="M46" s="167"/>
      <c r="N46" s="168">
        <v>30240</v>
      </c>
    </row>
    <row r="47" spans="9:14" ht="15" x14ac:dyDescent="0.25">
      <c r="I47">
        <v>1500</v>
      </c>
      <c r="J47">
        <v>1599</v>
      </c>
      <c r="M47" s="167"/>
      <c r="N47" s="168">
        <v>32710</v>
      </c>
    </row>
    <row r="48" spans="9:14" ht="15" x14ac:dyDescent="0.25">
      <c r="I48">
        <v>1600</v>
      </c>
      <c r="J48">
        <v>1699</v>
      </c>
      <c r="M48" s="167"/>
      <c r="N48" s="168">
        <v>34890</v>
      </c>
    </row>
    <row r="49" spans="9:14" ht="15" x14ac:dyDescent="0.25">
      <c r="I49">
        <v>1700</v>
      </c>
      <c r="J49">
        <v>1799</v>
      </c>
      <c r="M49" s="167"/>
      <c r="N49" s="168">
        <v>37060</v>
      </c>
    </row>
    <row r="50" spans="9:14" ht="15" x14ac:dyDescent="0.25">
      <c r="I50">
        <v>1800</v>
      </c>
      <c r="J50">
        <v>1899</v>
      </c>
      <c r="M50" s="167"/>
      <c r="N50" s="168">
        <v>39200</v>
      </c>
    </row>
    <row r="51" spans="9:14" ht="15" x14ac:dyDescent="0.25">
      <c r="I51">
        <v>1900</v>
      </c>
      <c r="J51">
        <v>1999</v>
      </c>
      <c r="M51" s="167"/>
      <c r="N51" s="168">
        <v>41380</v>
      </c>
    </row>
    <row r="52" spans="9:14" ht="15" x14ac:dyDescent="0.25">
      <c r="I52">
        <v>2000</v>
      </c>
      <c r="J52">
        <v>2099</v>
      </c>
      <c r="M52" s="167"/>
      <c r="N52" s="168">
        <v>43500</v>
      </c>
    </row>
    <row r="53" spans="9:14" ht="15" x14ac:dyDescent="0.25">
      <c r="I53">
        <v>2100</v>
      </c>
      <c r="J53">
        <v>2199</v>
      </c>
      <c r="M53" s="167"/>
      <c r="N53" s="168">
        <v>45650</v>
      </c>
    </row>
    <row r="54" spans="9:14" ht="15" x14ac:dyDescent="0.25">
      <c r="I54">
        <v>2200</v>
      </c>
      <c r="J54">
        <v>2299</v>
      </c>
      <c r="M54" s="167"/>
      <c r="N54" s="168">
        <v>47850</v>
      </c>
    </row>
    <row r="55" spans="9:14" ht="15" x14ac:dyDescent="0.25">
      <c r="I55">
        <v>2300</v>
      </c>
      <c r="J55">
        <v>2399</v>
      </c>
      <c r="M55" s="167"/>
      <c r="N55" s="168">
        <v>49980</v>
      </c>
    </row>
    <row r="56" spans="9:14" ht="15" x14ac:dyDescent="0.25">
      <c r="I56">
        <v>2400</v>
      </c>
      <c r="J56">
        <v>2499</v>
      </c>
      <c r="M56" s="167"/>
      <c r="N56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9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FD59-4B89-4C10-B679-CB25184BF579}">
  <sheetPr codeName="Ark29">
    <pageSetUpPr fitToPage="1"/>
  </sheetPr>
  <dimension ref="A2:O77"/>
  <sheetViews>
    <sheetView topLeftCell="A49" workbookViewId="0">
      <selection activeCell="H23" sqref="H23"/>
    </sheetView>
  </sheetViews>
  <sheetFormatPr baseColWidth="10" defaultRowHeight="12.75" x14ac:dyDescent="0.2"/>
  <cols>
    <col min="1" max="1" width="6.57031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472</v>
      </c>
      <c r="F4" s="1" t="s">
        <v>19</v>
      </c>
      <c r="G4" s="12" t="s">
        <v>30</v>
      </c>
      <c r="H4" s="13"/>
    </row>
    <row r="5" spans="2:8" x14ac:dyDescent="0.2">
      <c r="B5" s="1" t="s">
        <v>18</v>
      </c>
      <c r="C5" s="4" t="s">
        <v>1</v>
      </c>
      <c r="D5" s="4">
        <v>32912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4" t="s">
        <v>330</v>
      </c>
      <c r="F9" s="4" t="s">
        <v>37</v>
      </c>
      <c r="G9" s="4" t="s">
        <v>195</v>
      </c>
    </row>
    <row r="10" spans="2:8" x14ac:dyDescent="0.2">
      <c r="B10" s="1" t="s">
        <v>9</v>
      </c>
      <c r="C10" s="11" t="s">
        <v>1</v>
      </c>
    </row>
    <row r="11" spans="2:8" x14ac:dyDescent="0.2">
      <c r="B11" s="1"/>
      <c r="F11" s="4" t="s">
        <v>331</v>
      </c>
      <c r="G11" s="4" t="s">
        <v>332</v>
      </c>
    </row>
    <row r="12" spans="2:8" x14ac:dyDescent="0.2">
      <c r="B12" s="1" t="s">
        <v>16</v>
      </c>
      <c r="C12" s="11" t="s">
        <v>29</v>
      </c>
    </row>
    <row r="13" spans="2:8" x14ac:dyDescent="0.2">
      <c r="B13" s="1"/>
    </row>
    <row r="14" spans="2:8" x14ac:dyDescent="0.2">
      <c r="B14" s="1"/>
      <c r="C14" s="13"/>
      <c r="F14" s="20" t="s">
        <v>1</v>
      </c>
    </row>
    <row r="15" spans="2:8" x14ac:dyDescent="0.2">
      <c r="B15" s="1" t="s">
        <v>11</v>
      </c>
      <c r="C15" s="13" t="s">
        <v>39</v>
      </c>
    </row>
    <row r="16" spans="2:8" x14ac:dyDescent="0.2">
      <c r="B16" s="1" t="s">
        <v>20</v>
      </c>
      <c r="C16" s="13" t="s">
        <v>1</v>
      </c>
    </row>
    <row r="17" spans="2:15" x14ac:dyDescent="0.2">
      <c r="B17" s="1"/>
      <c r="C17" s="13"/>
    </row>
    <row r="18" spans="2:15" x14ac:dyDescent="0.2">
      <c r="B18" s="1"/>
      <c r="C18" s="13"/>
    </row>
    <row r="19" spans="2:15" x14ac:dyDescent="0.2">
      <c r="B19" s="1"/>
    </row>
    <row r="20" spans="2:15" ht="15" x14ac:dyDescent="0.25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  <c r="K20" s="86"/>
      <c r="L20" s="86"/>
      <c r="N20" s="86"/>
      <c r="O20" s="162">
        <v>2026</v>
      </c>
    </row>
    <row r="21" spans="2:15" ht="15" x14ac:dyDescent="0.25">
      <c r="H21" s="17"/>
      <c r="J21" s="163" t="s">
        <v>785</v>
      </c>
      <c r="K21" s="163" t="s">
        <v>786</v>
      </c>
      <c r="L21" s="163"/>
      <c r="M21" s="164"/>
      <c r="N21" s="165"/>
      <c r="O21" s="166" t="s">
        <v>787</v>
      </c>
    </row>
    <row r="22" spans="2:15" ht="15" x14ac:dyDescent="0.25">
      <c r="B22" s="49" t="s">
        <v>87</v>
      </c>
      <c r="D22" t="str">
        <f>Felles!C4</f>
        <v>August</v>
      </c>
      <c r="E22">
        <v>1</v>
      </c>
      <c r="F22" s="17">
        <v>4670</v>
      </c>
      <c r="G22" s="18"/>
      <c r="H22" s="17">
        <v>4670</v>
      </c>
      <c r="J22" s="163"/>
      <c r="K22" s="163"/>
      <c r="L22" s="163"/>
      <c r="M22" s="164"/>
      <c r="N22" s="165"/>
      <c r="O22" s="166"/>
    </row>
    <row r="23" spans="2:15" ht="15" x14ac:dyDescent="0.25">
      <c r="F23" s="17"/>
      <c r="G23" s="18"/>
      <c r="H23" s="17"/>
      <c r="J23" s="86">
        <v>1</v>
      </c>
      <c r="K23" s="86">
        <v>99</v>
      </c>
      <c r="L23" s="86"/>
      <c r="N23" s="167"/>
      <c r="O23" s="168">
        <v>2960</v>
      </c>
    </row>
    <row r="24" spans="2:15" ht="15" x14ac:dyDescent="0.25">
      <c r="B24" t="s">
        <v>404</v>
      </c>
      <c r="E24">
        <v>1</v>
      </c>
      <c r="F24" s="17">
        <v>199</v>
      </c>
      <c r="G24" s="18"/>
      <c r="H24" s="17">
        <f>E24*F24</f>
        <v>199</v>
      </c>
      <c r="J24">
        <v>100</v>
      </c>
      <c r="K24">
        <v>149</v>
      </c>
      <c r="N24" s="167"/>
      <c r="O24" s="168">
        <v>3580</v>
      </c>
    </row>
    <row r="25" spans="2:15" ht="15" x14ac:dyDescent="0.25">
      <c r="F25" s="17"/>
      <c r="G25" s="18"/>
      <c r="H25" s="17"/>
      <c r="J25">
        <v>150</v>
      </c>
      <c r="K25">
        <v>199</v>
      </c>
      <c r="N25" s="167"/>
      <c r="O25" s="168">
        <v>4090</v>
      </c>
    </row>
    <row r="26" spans="2:15" ht="15" x14ac:dyDescent="0.25">
      <c r="B26" s="4" t="s">
        <v>411</v>
      </c>
      <c r="E26">
        <v>1</v>
      </c>
      <c r="F26" s="17">
        <v>199</v>
      </c>
      <c r="G26" s="18"/>
      <c r="H26" s="17">
        <f>E26*F26</f>
        <v>199</v>
      </c>
      <c r="J26">
        <v>200</v>
      </c>
      <c r="K26">
        <v>249</v>
      </c>
      <c r="N26" s="167"/>
      <c r="O26" s="168">
        <v>4670</v>
      </c>
    </row>
    <row r="27" spans="2:15" ht="15" x14ac:dyDescent="0.25">
      <c r="F27" s="17"/>
      <c r="G27" s="18"/>
      <c r="H27" s="17"/>
      <c r="J27">
        <v>250</v>
      </c>
      <c r="K27">
        <v>299</v>
      </c>
      <c r="L27" s="86"/>
      <c r="N27" s="167"/>
      <c r="O27" s="168">
        <v>5760</v>
      </c>
    </row>
    <row r="28" spans="2:15" ht="15" x14ac:dyDescent="0.25">
      <c r="B28" t="s">
        <v>594</v>
      </c>
      <c r="E28">
        <v>1</v>
      </c>
      <c r="F28" s="17">
        <v>199</v>
      </c>
      <c r="G28" s="18"/>
      <c r="H28" s="17">
        <v>199</v>
      </c>
      <c r="J28">
        <v>300</v>
      </c>
      <c r="K28">
        <v>349</v>
      </c>
      <c r="N28" s="167"/>
      <c r="O28" s="168">
        <v>6830</v>
      </c>
    </row>
    <row r="29" spans="2:15" ht="15" x14ac:dyDescent="0.25">
      <c r="B29" s="33"/>
      <c r="F29" s="17"/>
      <c r="G29" s="18"/>
      <c r="H29" s="17"/>
      <c r="J29">
        <v>350</v>
      </c>
      <c r="K29">
        <v>399</v>
      </c>
      <c r="N29" s="167"/>
      <c r="O29" s="168">
        <v>7920</v>
      </c>
    </row>
    <row r="30" spans="2:15" ht="15" x14ac:dyDescent="0.25">
      <c r="F30" s="17"/>
      <c r="G30" s="18"/>
      <c r="H30" s="17"/>
      <c r="J30">
        <v>400</v>
      </c>
      <c r="K30">
        <v>449</v>
      </c>
      <c r="N30" s="167"/>
      <c r="O30" s="168">
        <v>8980</v>
      </c>
    </row>
    <row r="31" spans="2:15" ht="15" x14ac:dyDescent="0.25">
      <c r="B31" t="s">
        <v>1</v>
      </c>
      <c r="F31" s="17"/>
      <c r="G31" s="18"/>
      <c r="H31" s="17"/>
      <c r="J31">
        <v>450</v>
      </c>
      <c r="K31">
        <v>499</v>
      </c>
      <c r="N31" s="167"/>
      <c r="O31" s="168">
        <v>10080</v>
      </c>
    </row>
    <row r="32" spans="2:15" ht="15" x14ac:dyDescent="0.25">
      <c r="B32" s="8" t="s">
        <v>21</v>
      </c>
      <c r="C32" t="s">
        <v>1</v>
      </c>
      <c r="F32" s="17"/>
      <c r="G32" s="18"/>
      <c r="H32" s="17"/>
      <c r="J32">
        <v>500</v>
      </c>
      <c r="K32">
        <v>549</v>
      </c>
      <c r="N32" s="167"/>
      <c r="O32" s="168">
        <v>11150</v>
      </c>
    </row>
    <row r="33" spans="2:15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J33">
        <v>550</v>
      </c>
      <c r="K33">
        <v>599</v>
      </c>
      <c r="N33" s="167"/>
      <c r="O33" s="168">
        <v>12200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J34">
        <v>600</v>
      </c>
      <c r="K34">
        <v>649</v>
      </c>
      <c r="N34" s="167"/>
      <c r="O34" s="168">
        <v>13260</v>
      </c>
    </row>
    <row r="35" spans="2:15" ht="15" x14ac:dyDescent="0.25">
      <c r="B35" s="11"/>
      <c r="C35" s="11"/>
      <c r="D35" s="11"/>
      <c r="E35" s="11"/>
      <c r="F35" s="22"/>
      <c r="G35" s="22"/>
      <c r="H35" s="17"/>
      <c r="J35">
        <v>650</v>
      </c>
      <c r="K35">
        <v>699</v>
      </c>
      <c r="N35" s="167"/>
      <c r="O35" s="168">
        <v>14360</v>
      </c>
    </row>
    <row r="36" spans="2:15" ht="15" x14ac:dyDescent="0.25">
      <c r="F36" s="17"/>
      <c r="G36" s="17"/>
      <c r="H36" s="17"/>
      <c r="J36">
        <v>700</v>
      </c>
      <c r="K36">
        <v>749</v>
      </c>
      <c r="N36" s="167"/>
      <c r="O36" s="168">
        <v>15430</v>
      </c>
    </row>
    <row r="37" spans="2:15" ht="15" x14ac:dyDescent="0.25">
      <c r="F37" s="17"/>
      <c r="G37" s="17"/>
      <c r="H37" s="17"/>
      <c r="J37">
        <v>750</v>
      </c>
      <c r="K37">
        <v>799</v>
      </c>
      <c r="N37" s="167"/>
      <c r="O37" s="168">
        <v>16530</v>
      </c>
    </row>
    <row r="38" spans="2:15" ht="15" x14ac:dyDescent="0.25">
      <c r="F38" s="17"/>
      <c r="G38" s="17"/>
      <c r="H38" s="17"/>
      <c r="J38">
        <v>800</v>
      </c>
      <c r="K38">
        <v>849</v>
      </c>
      <c r="N38" s="167"/>
      <c r="O38" s="168">
        <v>17590</v>
      </c>
    </row>
    <row r="39" spans="2:15" ht="15.75" x14ac:dyDescent="0.25">
      <c r="B39" s="3" t="s">
        <v>23</v>
      </c>
      <c r="C39" s="3"/>
      <c r="D39" s="3"/>
      <c r="E39" s="3"/>
      <c r="F39" s="19"/>
      <c r="G39" s="19"/>
      <c r="H39" s="19">
        <f>SUM(H22:H38)</f>
        <v>5267</v>
      </c>
      <c r="J39">
        <v>850</v>
      </c>
      <c r="K39">
        <v>899</v>
      </c>
      <c r="N39" s="167"/>
      <c r="O39" s="168">
        <v>18680</v>
      </c>
    </row>
    <row r="40" spans="2:15" ht="15" x14ac:dyDescent="0.25">
      <c r="J40">
        <v>900</v>
      </c>
      <c r="K40">
        <v>949</v>
      </c>
      <c r="N40" s="167"/>
      <c r="O40" s="168">
        <v>19750</v>
      </c>
    </row>
    <row r="41" spans="2:15" ht="15" x14ac:dyDescent="0.25">
      <c r="C41" t="s">
        <v>216</v>
      </c>
      <c r="D41" t="s">
        <v>348</v>
      </c>
      <c r="E41" t="s">
        <v>367</v>
      </c>
      <c r="F41" t="s">
        <v>313</v>
      </c>
      <c r="G41" t="s">
        <v>314</v>
      </c>
      <c r="H41" t="s">
        <v>395</v>
      </c>
      <c r="J41">
        <v>950</v>
      </c>
      <c r="K41">
        <v>999</v>
      </c>
      <c r="N41" s="167"/>
      <c r="O41" s="168">
        <v>20820</v>
      </c>
    </row>
    <row r="42" spans="2:15" ht="15" x14ac:dyDescent="0.25">
      <c r="B42" t="s">
        <v>405</v>
      </c>
      <c r="C42">
        <v>78</v>
      </c>
      <c r="D42">
        <v>82</v>
      </c>
      <c r="E42">
        <v>93</v>
      </c>
      <c r="F42">
        <v>79</v>
      </c>
      <c r="G42">
        <v>99</v>
      </c>
      <c r="H42">
        <v>135</v>
      </c>
      <c r="J42">
        <v>1000</v>
      </c>
      <c r="K42">
        <v>1099</v>
      </c>
      <c r="N42" s="167"/>
      <c r="O42" s="168">
        <v>23000</v>
      </c>
    </row>
    <row r="43" spans="2:15" ht="15" x14ac:dyDescent="0.25">
      <c r="B43" t="s">
        <v>406</v>
      </c>
      <c r="C43">
        <v>2</v>
      </c>
      <c r="D43">
        <v>1</v>
      </c>
      <c r="E43">
        <v>3</v>
      </c>
      <c r="F43">
        <v>9</v>
      </c>
      <c r="G43">
        <v>29</v>
      </c>
      <c r="H43">
        <v>15</v>
      </c>
      <c r="J43">
        <v>1100</v>
      </c>
      <c r="K43">
        <v>1199</v>
      </c>
      <c r="N43" s="167"/>
      <c r="O43" s="168">
        <v>24100</v>
      </c>
    </row>
    <row r="44" spans="2:15" ht="15" x14ac:dyDescent="0.25">
      <c r="B44" s="4" t="s">
        <v>413</v>
      </c>
      <c r="H44">
        <v>10</v>
      </c>
      <c r="J44">
        <v>1200</v>
      </c>
      <c r="K44">
        <v>1299</v>
      </c>
      <c r="N44" s="167"/>
      <c r="O44" s="168">
        <v>26260</v>
      </c>
    </row>
    <row r="45" spans="2:15" ht="15" x14ac:dyDescent="0.25">
      <c r="C45">
        <f t="shared" ref="C45:H45" si="0">SUM(C42:C44)</f>
        <v>80</v>
      </c>
      <c r="D45">
        <f t="shared" si="0"/>
        <v>83</v>
      </c>
      <c r="E45">
        <f t="shared" si="0"/>
        <v>96</v>
      </c>
      <c r="F45">
        <f t="shared" si="0"/>
        <v>88</v>
      </c>
      <c r="G45">
        <f t="shared" si="0"/>
        <v>128</v>
      </c>
      <c r="H45">
        <f t="shared" si="0"/>
        <v>160</v>
      </c>
      <c r="J45">
        <v>1300</v>
      </c>
      <c r="K45">
        <v>1399</v>
      </c>
      <c r="N45" s="167"/>
      <c r="O45" s="168">
        <v>28400</v>
      </c>
    </row>
    <row r="46" spans="2:15" ht="15" x14ac:dyDescent="0.25">
      <c r="J46">
        <v>1400</v>
      </c>
      <c r="K46">
        <v>1499</v>
      </c>
      <c r="N46" s="167"/>
      <c r="O46" s="168">
        <v>30240</v>
      </c>
    </row>
    <row r="47" spans="2:15" ht="15" x14ac:dyDescent="0.25">
      <c r="C47" s="4" t="s">
        <v>83</v>
      </c>
      <c r="D47" s="4" t="s">
        <v>33</v>
      </c>
      <c r="E47" s="4" t="s">
        <v>70</v>
      </c>
      <c r="F47" s="4" t="s">
        <v>34</v>
      </c>
      <c r="G47" s="4" t="s">
        <v>35</v>
      </c>
      <c r="H47" s="4" t="s">
        <v>36</v>
      </c>
      <c r="J47">
        <v>1500</v>
      </c>
      <c r="K47">
        <v>1599</v>
      </c>
      <c r="N47" s="167"/>
      <c r="O47" s="168">
        <v>32710</v>
      </c>
    </row>
    <row r="48" spans="2:15" ht="15" x14ac:dyDescent="0.25">
      <c r="B48" t="s">
        <v>405</v>
      </c>
      <c r="C48">
        <v>54</v>
      </c>
      <c r="D48">
        <v>103</v>
      </c>
      <c r="E48">
        <v>76</v>
      </c>
      <c r="F48">
        <v>68</v>
      </c>
      <c r="G48">
        <v>85</v>
      </c>
      <c r="H48">
        <v>57</v>
      </c>
      <c r="J48">
        <v>1600</v>
      </c>
      <c r="K48">
        <v>1699</v>
      </c>
      <c r="N48" s="167"/>
      <c r="O48" s="168">
        <v>34890</v>
      </c>
    </row>
    <row r="49" spans="2:15" ht="15" x14ac:dyDescent="0.25">
      <c r="B49" t="s">
        <v>406</v>
      </c>
      <c r="C49">
        <v>14</v>
      </c>
      <c r="D49">
        <v>13</v>
      </c>
      <c r="E49">
        <v>12</v>
      </c>
      <c r="F49">
        <v>12</v>
      </c>
      <c r="G49">
        <v>2</v>
      </c>
      <c r="H49">
        <v>2</v>
      </c>
      <c r="J49">
        <v>1700</v>
      </c>
      <c r="K49">
        <v>1799</v>
      </c>
      <c r="N49" s="167"/>
      <c r="O49" s="168">
        <v>37060</v>
      </c>
    </row>
    <row r="50" spans="2:15" ht="15" x14ac:dyDescent="0.25">
      <c r="B50" s="4" t="s">
        <v>413</v>
      </c>
      <c r="C50">
        <v>9</v>
      </c>
      <c r="D50">
        <v>14</v>
      </c>
      <c r="E50">
        <v>2</v>
      </c>
      <c r="F50">
        <v>2</v>
      </c>
      <c r="G50">
        <v>4</v>
      </c>
      <c r="H50">
        <v>0</v>
      </c>
      <c r="J50">
        <v>1800</v>
      </c>
      <c r="K50">
        <v>1899</v>
      </c>
      <c r="N50" s="167"/>
      <c r="O50" s="168">
        <v>39200</v>
      </c>
    </row>
    <row r="51" spans="2:15" ht="15" x14ac:dyDescent="0.25">
      <c r="C51">
        <f t="shared" ref="C51:H51" si="1">SUM(C48:C50)</f>
        <v>77</v>
      </c>
      <c r="D51">
        <f t="shared" si="1"/>
        <v>130</v>
      </c>
      <c r="E51">
        <f t="shared" si="1"/>
        <v>90</v>
      </c>
      <c r="F51">
        <f t="shared" si="1"/>
        <v>82</v>
      </c>
      <c r="G51">
        <f t="shared" si="1"/>
        <v>91</v>
      </c>
      <c r="H51">
        <f t="shared" si="1"/>
        <v>59</v>
      </c>
      <c r="J51">
        <v>1900</v>
      </c>
      <c r="K51">
        <v>1999</v>
      </c>
      <c r="N51" s="167"/>
      <c r="O51" s="168">
        <v>41380</v>
      </c>
    </row>
    <row r="52" spans="2:15" ht="15" x14ac:dyDescent="0.25">
      <c r="J52">
        <v>2000</v>
      </c>
      <c r="K52">
        <v>2099</v>
      </c>
      <c r="N52" s="167"/>
      <c r="O52" s="168">
        <v>43500</v>
      </c>
    </row>
    <row r="53" spans="2:15" ht="15" x14ac:dyDescent="0.25">
      <c r="C53" t="s">
        <v>216</v>
      </c>
      <c r="D53" t="s">
        <v>348</v>
      </c>
      <c r="E53" t="s">
        <v>367</v>
      </c>
      <c r="F53" t="s">
        <v>313</v>
      </c>
      <c r="G53" t="s">
        <v>314</v>
      </c>
      <c r="H53" t="s">
        <v>395</v>
      </c>
      <c r="J53">
        <v>2100</v>
      </c>
      <c r="K53">
        <v>2199</v>
      </c>
      <c r="N53" s="167"/>
      <c r="O53" s="168">
        <v>45650</v>
      </c>
    </row>
    <row r="54" spans="2:15" ht="15" x14ac:dyDescent="0.25">
      <c r="B54" t="s">
        <v>405</v>
      </c>
      <c r="C54">
        <v>66</v>
      </c>
      <c r="D54">
        <v>86</v>
      </c>
      <c r="E54">
        <v>66</v>
      </c>
      <c r="F54">
        <v>91</v>
      </c>
      <c r="G54">
        <v>87</v>
      </c>
      <c r="H54">
        <v>103</v>
      </c>
      <c r="J54">
        <v>2200</v>
      </c>
      <c r="K54">
        <v>2299</v>
      </c>
      <c r="N54" s="167"/>
      <c r="O54" s="168">
        <v>47850</v>
      </c>
    </row>
    <row r="55" spans="2:15" ht="15" x14ac:dyDescent="0.25">
      <c r="B55" t="s">
        <v>406</v>
      </c>
      <c r="C55">
        <v>1</v>
      </c>
      <c r="D55">
        <v>7</v>
      </c>
      <c r="E55">
        <v>9</v>
      </c>
      <c r="F55">
        <v>19</v>
      </c>
      <c r="G55">
        <v>22</v>
      </c>
      <c r="H55">
        <v>62</v>
      </c>
      <c r="J55">
        <v>2300</v>
      </c>
      <c r="K55">
        <v>2399</v>
      </c>
      <c r="N55" s="167"/>
      <c r="O55" s="168">
        <v>49980</v>
      </c>
    </row>
    <row r="56" spans="2:15" ht="15" x14ac:dyDescent="0.25">
      <c r="B56" s="4" t="s">
        <v>413</v>
      </c>
      <c r="C56">
        <v>3</v>
      </c>
      <c r="D56">
        <v>6</v>
      </c>
      <c r="E56">
        <v>7</v>
      </c>
      <c r="F56">
        <v>5</v>
      </c>
      <c r="G56">
        <v>33</v>
      </c>
      <c r="H56">
        <v>38</v>
      </c>
      <c r="J56">
        <v>2400</v>
      </c>
      <c r="K56">
        <v>2499</v>
      </c>
      <c r="N56" s="167"/>
      <c r="O56" s="168">
        <v>52160</v>
      </c>
    </row>
    <row r="57" spans="2:15" x14ac:dyDescent="0.2">
      <c r="C57">
        <f t="shared" ref="C57:H57" si="2">SUM(C54:C56)</f>
        <v>70</v>
      </c>
      <c r="D57">
        <f t="shared" si="2"/>
        <v>99</v>
      </c>
      <c r="E57">
        <f t="shared" si="2"/>
        <v>82</v>
      </c>
      <c r="F57">
        <f t="shared" si="2"/>
        <v>115</v>
      </c>
      <c r="G57">
        <f t="shared" si="2"/>
        <v>142</v>
      </c>
      <c r="H57">
        <f t="shared" si="2"/>
        <v>203</v>
      </c>
    </row>
    <row r="59" spans="2:15" x14ac:dyDescent="0.2">
      <c r="C59" t="s">
        <v>83</v>
      </c>
      <c r="D59" s="4" t="s">
        <v>33</v>
      </c>
      <c r="E59" s="4" t="s">
        <v>327</v>
      </c>
      <c r="F59" s="4" t="s">
        <v>34</v>
      </c>
      <c r="G59" s="4" t="s">
        <v>35</v>
      </c>
      <c r="H59" s="4" t="s">
        <v>36</v>
      </c>
    </row>
    <row r="60" spans="2:15" x14ac:dyDescent="0.2">
      <c r="B60" s="4" t="s">
        <v>473</v>
      </c>
      <c r="C60">
        <v>56</v>
      </c>
      <c r="D60">
        <v>91</v>
      </c>
      <c r="E60">
        <v>97</v>
      </c>
      <c r="F60">
        <v>74</v>
      </c>
      <c r="G60">
        <v>73</v>
      </c>
      <c r="H60">
        <v>38</v>
      </c>
    </row>
    <row r="61" spans="2:15" x14ac:dyDescent="0.2">
      <c r="B61" t="s">
        <v>406</v>
      </c>
      <c r="C61">
        <v>28</v>
      </c>
      <c r="D61">
        <v>15</v>
      </c>
      <c r="E61">
        <v>7</v>
      </c>
      <c r="F61">
        <v>15</v>
      </c>
      <c r="G61">
        <v>7</v>
      </c>
    </row>
    <row r="62" spans="2:15" x14ac:dyDescent="0.2">
      <c r="B62" s="4" t="s">
        <v>413</v>
      </c>
      <c r="C62">
        <v>18</v>
      </c>
      <c r="D62">
        <v>28</v>
      </c>
      <c r="E62">
        <v>13</v>
      </c>
      <c r="F62">
        <v>10</v>
      </c>
      <c r="G62">
        <v>9</v>
      </c>
    </row>
    <row r="63" spans="2:15" x14ac:dyDescent="0.2">
      <c r="C63">
        <f>SUM(C60:C62)</f>
        <v>102</v>
      </c>
      <c r="D63">
        <f>SUM(D60:D62)</f>
        <v>134</v>
      </c>
      <c r="E63">
        <f>SUM(E60:E62)</f>
        <v>117</v>
      </c>
      <c r="F63">
        <f>SUM(F60:F62)</f>
        <v>99</v>
      </c>
      <c r="G63">
        <f>SUM(G60:G62)</f>
        <v>89</v>
      </c>
    </row>
    <row r="65" spans="1:14" x14ac:dyDescent="0.2">
      <c r="C65" s="4" t="s">
        <v>71</v>
      </c>
      <c r="D65" s="4" t="s">
        <v>72</v>
      </c>
      <c r="E65" t="s">
        <v>409</v>
      </c>
      <c r="F65" t="s">
        <v>521</v>
      </c>
      <c r="G65" s="108" t="s">
        <v>314</v>
      </c>
      <c r="H65" s="108" t="s">
        <v>391</v>
      </c>
      <c r="I65" s="108" t="s">
        <v>358</v>
      </c>
      <c r="J65" s="108" t="s">
        <v>359</v>
      </c>
      <c r="K65" s="108" t="s">
        <v>360</v>
      </c>
      <c r="L65" s="108" t="s">
        <v>655</v>
      </c>
      <c r="M65" s="108" t="s">
        <v>36</v>
      </c>
    </row>
    <row r="66" spans="1:14" x14ac:dyDescent="0.2">
      <c r="B66" s="4" t="s">
        <v>473</v>
      </c>
      <c r="C66">
        <v>51</v>
      </c>
      <c r="D66">
        <v>60</v>
      </c>
      <c r="E66">
        <v>96</v>
      </c>
      <c r="F66">
        <v>51</v>
      </c>
      <c r="G66">
        <v>84</v>
      </c>
      <c r="H66">
        <v>24</v>
      </c>
      <c r="I66">
        <v>39</v>
      </c>
      <c r="J66">
        <v>33</v>
      </c>
      <c r="K66">
        <v>39</v>
      </c>
      <c r="L66">
        <v>58</v>
      </c>
    </row>
    <row r="67" spans="1:14" x14ac:dyDescent="0.2">
      <c r="B67" t="s">
        <v>406</v>
      </c>
      <c r="C67">
        <v>1</v>
      </c>
      <c r="D67">
        <v>4</v>
      </c>
      <c r="E67">
        <v>17</v>
      </c>
      <c r="F67">
        <v>21</v>
      </c>
      <c r="G67">
        <v>24</v>
      </c>
      <c r="H67">
        <v>42</v>
      </c>
      <c r="I67">
        <v>28</v>
      </c>
      <c r="J67">
        <v>26</v>
      </c>
      <c r="K67">
        <v>10</v>
      </c>
      <c r="L67">
        <v>6</v>
      </c>
    </row>
    <row r="68" spans="1:14" x14ac:dyDescent="0.2">
      <c r="B68" s="4" t="s">
        <v>413</v>
      </c>
      <c r="C68">
        <v>10</v>
      </c>
      <c r="D68">
        <v>7</v>
      </c>
      <c r="E68">
        <v>6</v>
      </c>
      <c r="F68">
        <v>21</v>
      </c>
      <c r="G68">
        <v>26</v>
      </c>
      <c r="H68">
        <v>16</v>
      </c>
      <c r="I68">
        <v>40</v>
      </c>
      <c r="J68">
        <v>15</v>
      </c>
      <c r="K68">
        <v>15</v>
      </c>
      <c r="L68">
        <v>5</v>
      </c>
    </row>
    <row r="69" spans="1:14" x14ac:dyDescent="0.2">
      <c r="B69" s="108" t="s">
        <v>600</v>
      </c>
      <c r="I69">
        <v>5</v>
      </c>
      <c r="J69">
        <v>11</v>
      </c>
      <c r="K69">
        <v>19</v>
      </c>
      <c r="L69">
        <v>15</v>
      </c>
    </row>
    <row r="70" spans="1:14" x14ac:dyDescent="0.2">
      <c r="C70">
        <f t="shared" ref="C70:H70" si="3">SUM(C66:C68)</f>
        <v>62</v>
      </c>
      <c r="D70">
        <f t="shared" si="3"/>
        <v>71</v>
      </c>
      <c r="E70">
        <f t="shared" si="3"/>
        <v>119</v>
      </c>
      <c r="F70">
        <f t="shared" si="3"/>
        <v>93</v>
      </c>
      <c r="G70">
        <f t="shared" si="3"/>
        <v>134</v>
      </c>
      <c r="H70">
        <f t="shared" si="3"/>
        <v>82</v>
      </c>
      <c r="I70">
        <f>SUM(I66:I69)</f>
        <v>112</v>
      </c>
      <c r="J70">
        <f>SUM(J66:J69)</f>
        <v>85</v>
      </c>
      <c r="K70">
        <f>SUM(K66:K69)</f>
        <v>83</v>
      </c>
      <c r="L70">
        <f>SUM(L66:L69)</f>
        <v>84</v>
      </c>
    </row>
    <row r="72" spans="1:14" x14ac:dyDescent="0.2">
      <c r="C72" s="108" t="s">
        <v>71</v>
      </c>
      <c r="D72" s="108" t="s">
        <v>72</v>
      </c>
      <c r="E72" s="108" t="s">
        <v>75</v>
      </c>
      <c r="F72" s="108" t="s">
        <v>76</v>
      </c>
      <c r="G72" s="108" t="s">
        <v>77</v>
      </c>
      <c r="H72" s="108" t="s">
        <v>31</v>
      </c>
      <c r="I72" s="108" t="s">
        <v>32</v>
      </c>
      <c r="J72" s="108" t="s">
        <v>33</v>
      </c>
      <c r="K72" s="108" t="s">
        <v>70</v>
      </c>
      <c r="L72" s="108" t="s">
        <v>34</v>
      </c>
      <c r="M72" s="108" t="s">
        <v>35</v>
      </c>
      <c r="N72" s="108" t="s">
        <v>36</v>
      </c>
    </row>
    <row r="73" spans="1:14" x14ac:dyDescent="0.2">
      <c r="A73">
        <v>2026</v>
      </c>
      <c r="B73" s="108" t="s">
        <v>473</v>
      </c>
      <c r="C73">
        <v>49</v>
      </c>
      <c r="D73">
        <v>75</v>
      </c>
      <c r="E73">
        <v>103</v>
      </c>
      <c r="F73">
        <v>101</v>
      </c>
      <c r="G73">
        <v>115</v>
      </c>
      <c r="H73">
        <v>193</v>
      </c>
      <c r="I73">
        <v>84</v>
      </c>
      <c r="J73">
        <v>117</v>
      </c>
    </row>
    <row r="74" spans="1:14" x14ac:dyDescent="0.2">
      <c r="B74" s="108" t="s">
        <v>406</v>
      </c>
      <c r="C74">
        <v>9</v>
      </c>
      <c r="D74">
        <v>12</v>
      </c>
      <c r="E74">
        <v>23</v>
      </c>
      <c r="F74">
        <v>56</v>
      </c>
      <c r="G74">
        <v>46</v>
      </c>
      <c r="H74">
        <v>50</v>
      </c>
      <c r="I74">
        <v>35</v>
      </c>
      <c r="J74">
        <v>29</v>
      </c>
    </row>
    <row r="75" spans="1:14" x14ac:dyDescent="0.2">
      <c r="B75" s="108" t="s">
        <v>413</v>
      </c>
      <c r="C75">
        <v>15</v>
      </c>
      <c r="D75">
        <v>13</v>
      </c>
      <c r="E75">
        <v>21</v>
      </c>
      <c r="F75">
        <v>30</v>
      </c>
      <c r="G75">
        <v>50</v>
      </c>
      <c r="H75">
        <v>48</v>
      </c>
      <c r="I75">
        <v>21</v>
      </c>
      <c r="J75">
        <v>45</v>
      </c>
    </row>
    <row r="76" spans="1:14" x14ac:dyDescent="0.2">
      <c r="B76" s="108" t="s">
        <v>600</v>
      </c>
      <c r="C76">
        <v>17</v>
      </c>
      <c r="D76">
        <v>11</v>
      </c>
      <c r="E76">
        <v>25</v>
      </c>
      <c r="F76">
        <v>25</v>
      </c>
      <c r="G76">
        <v>14</v>
      </c>
      <c r="H76">
        <v>20</v>
      </c>
      <c r="I76">
        <v>12</v>
      </c>
      <c r="J76">
        <v>15</v>
      </c>
    </row>
    <row r="77" spans="1:14" x14ac:dyDescent="0.2">
      <c r="C77" s="1">
        <f t="shared" ref="C77:H77" si="4">SUM(C73:C76)</f>
        <v>90</v>
      </c>
      <c r="D77" s="1">
        <f t="shared" si="4"/>
        <v>111</v>
      </c>
      <c r="E77" s="1">
        <f t="shared" si="4"/>
        <v>172</v>
      </c>
      <c r="F77" s="1">
        <f>SUM(F73:F76)</f>
        <v>212</v>
      </c>
      <c r="G77" s="1">
        <f t="shared" si="4"/>
        <v>225</v>
      </c>
      <c r="H77" s="1">
        <f t="shared" si="4"/>
        <v>311</v>
      </c>
      <c r="I77" s="1">
        <f>SUM(I73:I76)</f>
        <v>152</v>
      </c>
      <c r="J77" s="1">
        <f>SUM(J73:J76)</f>
        <v>206</v>
      </c>
      <c r="K77" s="1"/>
      <c r="L77" s="1"/>
      <c r="M77" s="1"/>
      <c r="N77" s="1"/>
    </row>
  </sheetData>
  <phoneticPr fontId="30" type="noConversion"/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A116-23AA-46A1-B1F0-C7A4CD649114}">
  <sheetPr codeName="Ark21"/>
  <dimension ref="B2:O60"/>
  <sheetViews>
    <sheetView topLeftCell="A3" zoomScaleNormal="100" workbookViewId="0">
      <selection activeCell="I18" sqref="I18"/>
    </sheetView>
  </sheetViews>
  <sheetFormatPr baseColWidth="10" defaultRowHeight="12.75" x14ac:dyDescent="0.2"/>
  <cols>
    <col min="1" max="1" width="5.285156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581</v>
      </c>
      <c r="F4" s="1" t="s">
        <v>19</v>
      </c>
      <c r="G4" s="12" t="s">
        <v>29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 t="s">
        <v>1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s="4" t="s">
        <v>1</v>
      </c>
    </row>
    <row r="13" spans="2:8" x14ac:dyDescent="0.2">
      <c r="B13" s="1" t="s">
        <v>8</v>
      </c>
      <c r="C13" s="11" t="s">
        <v>203</v>
      </c>
      <c r="F13" t="s">
        <v>189</v>
      </c>
      <c r="G13" s="20" t="s">
        <v>193</v>
      </c>
    </row>
    <row r="14" spans="2:8" x14ac:dyDescent="0.2">
      <c r="B14" s="1" t="s">
        <v>9</v>
      </c>
    </row>
    <row r="15" spans="2:8" x14ac:dyDescent="0.2">
      <c r="B15" s="1"/>
      <c r="F15" s="4" t="s">
        <v>117</v>
      </c>
      <c r="G15">
        <v>2960</v>
      </c>
    </row>
    <row r="16" spans="2:8" x14ac:dyDescent="0.2">
      <c r="B16" s="1" t="s">
        <v>16</v>
      </c>
      <c r="C16" s="11" t="s">
        <v>29</v>
      </c>
      <c r="F16" s="20" t="s">
        <v>195</v>
      </c>
    </row>
    <row r="17" spans="2:15" x14ac:dyDescent="0.2">
      <c r="B17" s="1"/>
      <c r="F17" s="40" t="s">
        <v>1</v>
      </c>
    </row>
    <row r="18" spans="2:15" x14ac:dyDescent="0.2">
      <c r="B18" s="1"/>
      <c r="C18" s="13"/>
      <c r="F18" s="8" t="s">
        <v>1</v>
      </c>
    </row>
    <row r="19" spans="2:15" x14ac:dyDescent="0.2">
      <c r="B19" s="1" t="s">
        <v>11</v>
      </c>
      <c r="C19" s="13" t="s">
        <v>39</v>
      </c>
      <c r="F19" s="4" t="s">
        <v>1</v>
      </c>
    </row>
    <row r="20" spans="2:15" x14ac:dyDescent="0.2">
      <c r="B20" s="1" t="s">
        <v>20</v>
      </c>
      <c r="C20" s="13" t="s">
        <v>1</v>
      </c>
      <c r="F20" s="4" t="s">
        <v>1</v>
      </c>
    </row>
    <row r="21" spans="2:15" x14ac:dyDescent="0.2">
      <c r="B21" s="1"/>
      <c r="C21" s="13"/>
    </row>
    <row r="22" spans="2:15" x14ac:dyDescent="0.2">
      <c r="B22" s="1"/>
      <c r="C22" s="13"/>
    </row>
    <row r="23" spans="2:15" x14ac:dyDescent="0.2">
      <c r="B23" s="1"/>
    </row>
    <row r="24" spans="2:15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K24" s="86"/>
      <c r="L24" s="86"/>
      <c r="N24" s="86"/>
      <c r="O24" s="162">
        <v>2026</v>
      </c>
    </row>
    <row r="25" spans="2:15" ht="15" x14ac:dyDescent="0.25">
      <c r="H25" s="17"/>
      <c r="J25" s="163" t="s">
        <v>785</v>
      </c>
      <c r="K25" s="163" t="s">
        <v>786</v>
      </c>
      <c r="L25" s="163"/>
      <c r="M25" s="164"/>
      <c r="N25" s="165"/>
      <c r="O25" s="166" t="s">
        <v>787</v>
      </c>
    </row>
    <row r="26" spans="2:15" ht="15" x14ac:dyDescent="0.25">
      <c r="B26" s="49" t="s">
        <v>168</v>
      </c>
      <c r="E26">
        <v>1</v>
      </c>
      <c r="F26" s="17">
        <v>2960</v>
      </c>
      <c r="G26" s="18"/>
      <c r="H26" s="17">
        <f>E26*F26</f>
        <v>2960</v>
      </c>
      <c r="J26" s="163"/>
      <c r="K26" s="163"/>
      <c r="L26" s="163"/>
      <c r="M26" s="164"/>
      <c r="N26" s="165"/>
      <c r="O26" s="166"/>
    </row>
    <row r="27" spans="2:15" ht="15" x14ac:dyDescent="0.25">
      <c r="B27" s="4" t="s">
        <v>1</v>
      </c>
      <c r="F27" s="17"/>
      <c r="G27" s="18"/>
      <c r="H27" s="17"/>
      <c r="J27" s="86">
        <v>1</v>
      </c>
      <c r="K27" s="86">
        <v>99</v>
      </c>
      <c r="L27" s="86"/>
      <c r="N27" s="167"/>
      <c r="O27" s="168">
        <v>2960</v>
      </c>
    </row>
    <row r="28" spans="2:15" ht="15" x14ac:dyDescent="0.25">
      <c r="F28" s="17"/>
      <c r="G28" s="18"/>
      <c r="H28" s="17"/>
      <c r="J28">
        <v>100</v>
      </c>
      <c r="K28">
        <v>149</v>
      </c>
      <c r="N28" s="167"/>
      <c r="O28" s="168">
        <v>3580</v>
      </c>
    </row>
    <row r="29" spans="2:15" ht="15" x14ac:dyDescent="0.25">
      <c r="F29" s="17"/>
      <c r="G29" s="18"/>
      <c r="H29" s="17"/>
      <c r="J29">
        <v>150</v>
      </c>
      <c r="K29">
        <v>199</v>
      </c>
      <c r="N29" s="167"/>
      <c r="O29" s="168">
        <v>4090</v>
      </c>
    </row>
    <row r="30" spans="2:15" ht="15" x14ac:dyDescent="0.25">
      <c r="F30" s="17"/>
      <c r="G30" s="18"/>
      <c r="H30" s="17"/>
      <c r="J30">
        <v>200</v>
      </c>
      <c r="K30">
        <v>249</v>
      </c>
      <c r="N30" s="167"/>
      <c r="O30" s="168">
        <v>4670</v>
      </c>
    </row>
    <row r="31" spans="2:15" ht="15" x14ac:dyDescent="0.25">
      <c r="B31" t="s">
        <v>1</v>
      </c>
      <c r="F31" s="17"/>
      <c r="G31" s="18"/>
      <c r="H31" s="17"/>
      <c r="J31">
        <v>250</v>
      </c>
      <c r="K31">
        <v>299</v>
      </c>
      <c r="L31" s="86"/>
      <c r="N31" s="167"/>
      <c r="O31" s="168">
        <v>5760</v>
      </c>
    </row>
    <row r="32" spans="2:15" ht="15" x14ac:dyDescent="0.25">
      <c r="B32" s="8" t="s">
        <v>21</v>
      </c>
      <c r="C32" t="s">
        <v>1</v>
      </c>
      <c r="F32" s="17"/>
      <c r="G32" s="18"/>
      <c r="H32" s="17"/>
      <c r="J32">
        <v>300</v>
      </c>
      <c r="K32">
        <v>349</v>
      </c>
      <c r="N32" s="167"/>
      <c r="O32" s="168">
        <v>6830</v>
      </c>
    </row>
    <row r="33" spans="2:15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J33">
        <v>350</v>
      </c>
      <c r="K33">
        <v>399</v>
      </c>
      <c r="N33" s="167"/>
      <c r="O33" s="168">
        <v>7920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J34">
        <v>400</v>
      </c>
      <c r="K34">
        <v>449</v>
      </c>
      <c r="N34" s="167"/>
      <c r="O34" s="168">
        <v>8980</v>
      </c>
    </row>
    <row r="35" spans="2:15" ht="15" x14ac:dyDescent="0.25">
      <c r="B35" s="11"/>
      <c r="C35" s="11"/>
      <c r="D35" s="11"/>
      <c r="E35" s="11"/>
      <c r="F35" s="22"/>
      <c r="G35" s="22"/>
      <c r="H35" s="17"/>
      <c r="J35">
        <v>450</v>
      </c>
      <c r="K35">
        <v>499</v>
      </c>
      <c r="N35" s="167"/>
      <c r="O35" s="168">
        <v>10080</v>
      </c>
    </row>
    <row r="36" spans="2:15" ht="15" x14ac:dyDescent="0.25">
      <c r="F36" s="17"/>
      <c r="G36" s="17"/>
      <c r="H36" s="17"/>
      <c r="J36">
        <v>500</v>
      </c>
      <c r="K36">
        <v>549</v>
      </c>
      <c r="N36" s="167"/>
      <c r="O36" s="168">
        <v>11150</v>
      </c>
    </row>
    <row r="37" spans="2:15" ht="15" x14ac:dyDescent="0.25">
      <c r="F37" s="17"/>
      <c r="G37" s="17"/>
      <c r="H37" s="17"/>
      <c r="J37">
        <v>550</v>
      </c>
      <c r="K37">
        <v>599</v>
      </c>
      <c r="N37" s="167"/>
      <c r="O37" s="168">
        <v>12200</v>
      </c>
    </row>
    <row r="38" spans="2:15" ht="15" x14ac:dyDescent="0.25">
      <c r="F38" s="17"/>
      <c r="G38" s="17"/>
      <c r="H38" s="17"/>
      <c r="J38">
        <v>600</v>
      </c>
      <c r="K38">
        <v>649</v>
      </c>
      <c r="N38" s="167"/>
      <c r="O38" s="168">
        <v>13260</v>
      </c>
    </row>
    <row r="39" spans="2:15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2960</v>
      </c>
      <c r="J39">
        <v>650</v>
      </c>
      <c r="K39">
        <v>699</v>
      </c>
      <c r="N39" s="167"/>
      <c r="O39" s="168">
        <v>14360</v>
      </c>
    </row>
    <row r="40" spans="2:15" ht="15" x14ac:dyDescent="0.25">
      <c r="J40">
        <v>700</v>
      </c>
      <c r="K40">
        <v>749</v>
      </c>
      <c r="N40" s="167"/>
      <c r="O40" s="168">
        <v>15430</v>
      </c>
    </row>
    <row r="41" spans="2:15" ht="15" x14ac:dyDescent="0.25">
      <c r="J41">
        <v>750</v>
      </c>
      <c r="K41">
        <v>799</v>
      </c>
      <c r="N41" s="167"/>
      <c r="O41" s="168">
        <v>16530</v>
      </c>
    </row>
    <row r="42" spans="2:15" ht="15" x14ac:dyDescent="0.25">
      <c r="J42">
        <v>800</v>
      </c>
      <c r="K42">
        <v>849</v>
      </c>
      <c r="N42" s="167"/>
      <c r="O42" s="168">
        <v>17590</v>
      </c>
    </row>
    <row r="43" spans="2:15" ht="15" x14ac:dyDescent="0.25">
      <c r="J43">
        <v>850</v>
      </c>
      <c r="K43">
        <v>899</v>
      </c>
      <c r="N43" s="167"/>
      <c r="O43" s="168">
        <v>18680</v>
      </c>
    </row>
    <row r="44" spans="2:15" ht="15" x14ac:dyDescent="0.25">
      <c r="J44">
        <v>900</v>
      </c>
      <c r="K44">
        <v>949</v>
      </c>
      <c r="N44" s="167"/>
      <c r="O44" s="168">
        <v>19750</v>
      </c>
    </row>
    <row r="45" spans="2:15" ht="15" x14ac:dyDescent="0.25">
      <c r="J45">
        <v>950</v>
      </c>
      <c r="K45">
        <v>999</v>
      </c>
      <c r="N45" s="167"/>
      <c r="O45" s="168">
        <v>20820</v>
      </c>
    </row>
    <row r="46" spans="2:15" ht="15" x14ac:dyDescent="0.25">
      <c r="J46">
        <v>1000</v>
      </c>
      <c r="K46">
        <v>1099</v>
      </c>
      <c r="N46" s="167"/>
      <c r="O46" s="168">
        <v>23000</v>
      </c>
    </row>
    <row r="47" spans="2:15" ht="15" x14ac:dyDescent="0.25">
      <c r="J47">
        <v>1100</v>
      </c>
      <c r="K47">
        <v>1199</v>
      </c>
      <c r="N47" s="167"/>
      <c r="O47" s="168">
        <v>24100</v>
      </c>
    </row>
    <row r="48" spans="2:15" ht="15" x14ac:dyDescent="0.25">
      <c r="J48">
        <v>1200</v>
      </c>
      <c r="K48">
        <v>1299</v>
      </c>
      <c r="N48" s="167"/>
      <c r="O48" s="168">
        <v>26260</v>
      </c>
    </row>
    <row r="49" spans="10:15" ht="15" x14ac:dyDescent="0.25">
      <c r="J49">
        <v>1300</v>
      </c>
      <c r="K49">
        <v>1399</v>
      </c>
      <c r="N49" s="167"/>
      <c r="O49" s="168">
        <v>28400</v>
      </c>
    </row>
    <row r="50" spans="10:15" ht="15" x14ac:dyDescent="0.25">
      <c r="J50">
        <v>1400</v>
      </c>
      <c r="K50">
        <v>1499</v>
      </c>
      <c r="N50" s="167"/>
      <c r="O50" s="168">
        <v>30240</v>
      </c>
    </row>
    <row r="51" spans="10:15" ht="15" x14ac:dyDescent="0.25">
      <c r="J51">
        <v>1500</v>
      </c>
      <c r="K51">
        <v>1599</v>
      </c>
      <c r="N51" s="167"/>
      <c r="O51" s="168">
        <v>32710</v>
      </c>
    </row>
    <row r="52" spans="10:15" ht="15" x14ac:dyDescent="0.25">
      <c r="J52">
        <v>1600</v>
      </c>
      <c r="K52">
        <v>1699</v>
      </c>
      <c r="N52" s="167"/>
      <c r="O52" s="168">
        <v>34890</v>
      </c>
    </row>
    <row r="53" spans="10:15" ht="15" x14ac:dyDescent="0.25">
      <c r="J53">
        <v>1700</v>
      </c>
      <c r="K53">
        <v>1799</v>
      </c>
      <c r="N53" s="167"/>
      <c r="O53" s="168">
        <v>37060</v>
      </c>
    </row>
    <row r="54" spans="10:15" ht="15" x14ac:dyDescent="0.25">
      <c r="J54">
        <v>1800</v>
      </c>
      <c r="K54">
        <v>1899</v>
      </c>
      <c r="N54" s="167"/>
      <c r="O54" s="168">
        <v>39200</v>
      </c>
    </row>
    <row r="55" spans="10:15" ht="15" x14ac:dyDescent="0.25">
      <c r="J55">
        <v>1900</v>
      </c>
      <c r="K55">
        <v>1999</v>
      </c>
      <c r="N55" s="167"/>
      <c r="O55" s="168">
        <v>41380</v>
      </c>
    </row>
    <row r="56" spans="10:15" ht="15" x14ac:dyDescent="0.25">
      <c r="J56">
        <v>2000</v>
      </c>
      <c r="K56">
        <v>2099</v>
      </c>
      <c r="N56" s="167"/>
      <c r="O56" s="168">
        <v>43500</v>
      </c>
    </row>
    <row r="57" spans="10:15" ht="15" x14ac:dyDescent="0.25">
      <c r="J57">
        <v>2100</v>
      </c>
      <c r="K57">
        <v>2199</v>
      </c>
      <c r="N57" s="167"/>
      <c r="O57" s="168">
        <v>45650</v>
      </c>
    </row>
    <row r="58" spans="10:15" ht="15" x14ac:dyDescent="0.25">
      <c r="J58">
        <v>2200</v>
      </c>
      <c r="K58">
        <v>2299</v>
      </c>
      <c r="N58" s="167"/>
      <c r="O58" s="168">
        <v>47850</v>
      </c>
    </row>
    <row r="59" spans="10:15" ht="15" x14ac:dyDescent="0.25">
      <c r="J59">
        <v>2300</v>
      </c>
      <c r="K59">
        <v>2399</v>
      </c>
      <c r="N59" s="167"/>
      <c r="O59" s="168">
        <v>49980</v>
      </c>
    </row>
    <row r="60" spans="10:15" ht="15" x14ac:dyDescent="0.25">
      <c r="J60">
        <v>2400</v>
      </c>
      <c r="K60">
        <v>2499</v>
      </c>
      <c r="N60" s="167"/>
      <c r="O60" s="168">
        <v>52160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49FE-4503-4D04-966B-A07CEE6DF3EA}">
  <dimension ref="C3:L142"/>
  <sheetViews>
    <sheetView topLeftCell="A13" workbookViewId="0">
      <selection activeCell="G22" sqref="G22"/>
    </sheetView>
  </sheetViews>
  <sheetFormatPr baseColWidth="10" defaultRowHeight="12.75" x14ac:dyDescent="0.2"/>
  <sheetData>
    <row r="3" spans="3:10" x14ac:dyDescent="0.2">
      <c r="C3" s="1" t="s">
        <v>0</v>
      </c>
      <c r="D3" s="1" t="s">
        <v>651</v>
      </c>
      <c r="G3" s="1" t="s">
        <v>19</v>
      </c>
      <c r="H3" s="12" t="s">
        <v>30</v>
      </c>
      <c r="I3" s="13"/>
    </row>
    <row r="4" spans="3:10" x14ac:dyDescent="0.2">
      <c r="C4" s="1" t="s">
        <v>18</v>
      </c>
      <c r="D4" s="151">
        <v>32244</v>
      </c>
      <c r="F4" s="4"/>
      <c r="G4" s="1"/>
      <c r="H4" s="1"/>
      <c r="I4" s="13"/>
    </row>
    <row r="5" spans="3:10" x14ac:dyDescent="0.2">
      <c r="C5" s="1"/>
      <c r="D5" s="14" t="s">
        <v>1</v>
      </c>
      <c r="G5" s="1" t="s">
        <v>10</v>
      </c>
      <c r="H5" s="15">
        <v>45987</v>
      </c>
      <c r="I5" s="13"/>
    </row>
    <row r="6" spans="3:10" x14ac:dyDescent="0.2">
      <c r="C6" s="1"/>
    </row>
    <row r="7" spans="3:10" x14ac:dyDescent="0.2">
      <c r="C7" s="8" t="s">
        <v>7</v>
      </c>
    </row>
    <row r="8" spans="3:10" x14ac:dyDescent="0.2">
      <c r="C8" s="1" t="s">
        <v>8</v>
      </c>
      <c r="D8" s="112" t="s">
        <v>652</v>
      </c>
      <c r="G8" s="44"/>
    </row>
    <row r="9" spans="3:10" x14ac:dyDescent="0.2">
      <c r="C9" s="1" t="s">
        <v>9</v>
      </c>
      <c r="D9" s="12"/>
      <c r="G9" s="159" t="s">
        <v>37</v>
      </c>
    </row>
    <row r="10" spans="3:10" x14ac:dyDescent="0.2">
      <c r="C10" s="1"/>
      <c r="G10" s="4"/>
    </row>
    <row r="11" spans="3:10" x14ac:dyDescent="0.2">
      <c r="C11" s="1" t="s">
        <v>16</v>
      </c>
      <c r="D11" s="11" t="s">
        <v>29</v>
      </c>
      <c r="G11" s="4" t="s">
        <v>1</v>
      </c>
    </row>
    <row r="12" spans="3:10" x14ac:dyDescent="0.2">
      <c r="C12" s="1"/>
      <c r="G12" s="49"/>
    </row>
    <row r="13" spans="3:10" x14ac:dyDescent="0.2">
      <c r="C13" s="1"/>
      <c r="D13" s="13"/>
    </row>
    <row r="14" spans="3:10" x14ac:dyDescent="0.2">
      <c r="C14" s="1" t="s">
        <v>11</v>
      </c>
      <c r="D14" s="13" t="s">
        <v>39</v>
      </c>
      <c r="G14" s="150" t="s">
        <v>653</v>
      </c>
      <c r="J14" s="32"/>
    </row>
    <row r="15" spans="3:10" ht="26.25" x14ac:dyDescent="0.4">
      <c r="C15" s="1" t="s">
        <v>20</v>
      </c>
      <c r="D15" s="13" t="s">
        <v>1</v>
      </c>
      <c r="G15" s="58"/>
    </row>
    <row r="16" spans="3:10" x14ac:dyDescent="0.2">
      <c r="C16" s="1"/>
      <c r="D16" s="13"/>
      <c r="G16" s="4"/>
    </row>
    <row r="17" spans="3:12" x14ac:dyDescent="0.2">
      <c r="C17" s="1"/>
      <c r="D17" s="13"/>
    </row>
    <row r="18" spans="3:12" x14ac:dyDescent="0.2">
      <c r="C18" s="1"/>
    </row>
    <row r="19" spans="3:12" ht="15" x14ac:dyDescent="0.25">
      <c r="C19" s="8" t="s">
        <v>15</v>
      </c>
      <c r="D19" s="2"/>
      <c r="F19" s="21" t="s">
        <v>12</v>
      </c>
      <c r="G19" s="21" t="s">
        <v>13</v>
      </c>
      <c r="H19" s="8"/>
      <c r="I19" s="16" t="s">
        <v>14</v>
      </c>
      <c r="K19" s="169" t="s">
        <v>660</v>
      </c>
      <c r="L19" s="169" t="s">
        <v>661</v>
      </c>
    </row>
    <row r="20" spans="3:12" x14ac:dyDescent="0.2">
      <c r="I20" s="17"/>
      <c r="K20" s="170" t="s">
        <v>662</v>
      </c>
      <c r="L20" s="171">
        <v>1500</v>
      </c>
    </row>
    <row r="21" spans="3:12" x14ac:dyDescent="0.2">
      <c r="C21" s="150" t="s">
        <v>654</v>
      </c>
      <c r="F21" s="4">
        <v>1</v>
      </c>
      <c r="G21" s="17">
        <v>4860</v>
      </c>
      <c r="H21" s="18"/>
      <c r="I21" s="17">
        <f>F21*G21</f>
        <v>4860</v>
      </c>
      <c r="K21" s="172" t="s">
        <v>663</v>
      </c>
      <c r="L21" s="173">
        <v>2280</v>
      </c>
    </row>
    <row r="22" spans="3:12" x14ac:dyDescent="0.2">
      <c r="C22" s="150"/>
      <c r="F22" s="4"/>
      <c r="G22" s="17"/>
      <c r="H22" s="18"/>
      <c r="I22" s="17"/>
      <c r="K22" s="170" t="s">
        <v>664</v>
      </c>
      <c r="L22" s="171">
        <v>2870</v>
      </c>
    </row>
    <row r="23" spans="3:12" x14ac:dyDescent="0.2">
      <c r="C23" s="49"/>
      <c r="F23" s="4"/>
      <c r="G23" s="17"/>
      <c r="H23" s="18"/>
      <c r="I23" s="17"/>
      <c r="K23" s="172" t="s">
        <v>665</v>
      </c>
      <c r="L23" s="173">
        <v>3260</v>
      </c>
    </row>
    <row r="24" spans="3:12" x14ac:dyDescent="0.2">
      <c r="C24" s="4"/>
      <c r="D24" t="s">
        <v>1</v>
      </c>
      <c r="K24" s="170" t="s">
        <v>666</v>
      </c>
      <c r="L24" s="171">
        <v>3450</v>
      </c>
    </row>
    <row r="25" spans="3:12" x14ac:dyDescent="0.2">
      <c r="C25" s="108"/>
      <c r="K25" s="172" t="s">
        <v>667</v>
      </c>
      <c r="L25" s="173">
        <v>3810</v>
      </c>
    </row>
    <row r="26" spans="3:12" x14ac:dyDescent="0.2">
      <c r="K26" s="170" t="s">
        <v>668</v>
      </c>
      <c r="L26" s="171">
        <v>4020</v>
      </c>
    </row>
    <row r="27" spans="3:12" x14ac:dyDescent="0.2">
      <c r="C27" s="1"/>
      <c r="K27" s="172" t="s">
        <v>669</v>
      </c>
      <c r="L27" s="173">
        <v>4260</v>
      </c>
    </row>
    <row r="28" spans="3:12" x14ac:dyDescent="0.2">
      <c r="C28" t="s">
        <v>1</v>
      </c>
      <c r="K28" s="170" t="s">
        <v>670</v>
      </c>
      <c r="L28" s="171">
        <v>4490</v>
      </c>
    </row>
    <row r="29" spans="3:12" x14ac:dyDescent="0.2">
      <c r="C29" s="158" t="s">
        <v>1</v>
      </c>
      <c r="D29" s="158"/>
      <c r="E29" s="158"/>
      <c r="F29" s="158"/>
      <c r="G29" s="158"/>
      <c r="H29" s="158"/>
      <c r="K29" s="172" t="s">
        <v>671</v>
      </c>
      <c r="L29" s="173">
        <v>4860</v>
      </c>
    </row>
    <row r="30" spans="3:12" x14ac:dyDescent="0.2">
      <c r="C30" s="158"/>
      <c r="D30" s="158"/>
      <c r="E30" s="158"/>
      <c r="F30" s="158"/>
      <c r="G30" s="158"/>
      <c r="H30" s="158"/>
      <c r="I30" s="17" t="s">
        <v>1</v>
      </c>
      <c r="K30" s="170" t="s">
        <v>672</v>
      </c>
      <c r="L30" s="171">
        <v>5280</v>
      </c>
    </row>
    <row r="31" spans="3:12" x14ac:dyDescent="0.2">
      <c r="C31" s="158"/>
      <c r="D31" s="158"/>
      <c r="E31" s="158"/>
      <c r="F31" s="158"/>
      <c r="G31" s="158"/>
      <c r="H31" s="158"/>
      <c r="I31" s="17"/>
      <c r="K31" s="172" t="s">
        <v>673</v>
      </c>
      <c r="L31" s="173">
        <v>5690</v>
      </c>
    </row>
    <row r="32" spans="3:12" x14ac:dyDescent="0.2">
      <c r="C32" s="158"/>
      <c r="D32" s="158"/>
      <c r="E32" s="158"/>
      <c r="F32" s="158"/>
      <c r="G32" s="158"/>
      <c r="H32" s="158"/>
      <c r="I32" s="17"/>
      <c r="K32" s="170" t="s">
        <v>674</v>
      </c>
      <c r="L32" s="171">
        <v>6100</v>
      </c>
    </row>
    <row r="33" spans="3:12" x14ac:dyDescent="0.2">
      <c r="C33" s="158"/>
      <c r="D33" s="158"/>
      <c r="E33" s="158"/>
      <c r="F33" s="158"/>
      <c r="G33" s="158"/>
      <c r="H33" s="158"/>
      <c r="I33" s="17"/>
      <c r="K33" s="172" t="s">
        <v>675</v>
      </c>
      <c r="L33" s="173">
        <v>6520</v>
      </c>
    </row>
    <row r="34" spans="3:12" x14ac:dyDescent="0.2">
      <c r="G34" s="17"/>
      <c r="H34" s="17"/>
      <c r="I34" s="17"/>
      <c r="K34" s="170" t="s">
        <v>676</v>
      </c>
      <c r="L34" s="171">
        <v>6940</v>
      </c>
    </row>
    <row r="35" spans="3:12" x14ac:dyDescent="0.2">
      <c r="G35" s="17"/>
      <c r="H35" s="17"/>
      <c r="I35" s="17"/>
      <c r="K35" s="172" t="s">
        <v>677</v>
      </c>
      <c r="L35" s="173">
        <v>7370</v>
      </c>
    </row>
    <row r="36" spans="3:12" ht="15.75" x14ac:dyDescent="0.25">
      <c r="C36" s="3" t="s">
        <v>23</v>
      </c>
      <c r="D36" s="3"/>
      <c r="E36" s="3"/>
      <c r="F36" s="3"/>
      <c r="G36" s="19"/>
      <c r="H36" s="19"/>
      <c r="I36" s="19">
        <f>SUM(I21:I35)</f>
        <v>4860</v>
      </c>
      <c r="K36" s="170" t="s">
        <v>678</v>
      </c>
      <c r="L36" s="171">
        <v>7790</v>
      </c>
    </row>
    <row r="37" spans="3:12" x14ac:dyDescent="0.2">
      <c r="K37" s="172" t="s">
        <v>679</v>
      </c>
      <c r="L37" s="173">
        <v>8200</v>
      </c>
    </row>
    <row r="38" spans="3:12" x14ac:dyDescent="0.2">
      <c r="K38" s="170" t="s">
        <v>680</v>
      </c>
      <c r="L38" s="171">
        <v>8610</v>
      </c>
    </row>
    <row r="39" spans="3:12" x14ac:dyDescent="0.2">
      <c r="K39" s="172" t="s">
        <v>681</v>
      </c>
      <c r="L39" s="173">
        <v>9020</v>
      </c>
    </row>
    <row r="40" spans="3:12" x14ac:dyDescent="0.2">
      <c r="K40" s="170" t="s">
        <v>682</v>
      </c>
      <c r="L40" s="171">
        <v>9440</v>
      </c>
    </row>
    <row r="41" spans="3:12" x14ac:dyDescent="0.2">
      <c r="K41" s="172" t="s">
        <v>683</v>
      </c>
      <c r="L41" s="173">
        <v>9860</v>
      </c>
    </row>
    <row r="42" spans="3:12" x14ac:dyDescent="0.2">
      <c r="K42" s="170" t="s">
        <v>684</v>
      </c>
      <c r="L42" s="171">
        <v>10280</v>
      </c>
    </row>
    <row r="43" spans="3:12" x14ac:dyDescent="0.2">
      <c r="K43" s="172" t="s">
        <v>685</v>
      </c>
      <c r="L43" s="173">
        <v>10700</v>
      </c>
    </row>
    <row r="44" spans="3:12" x14ac:dyDescent="0.2">
      <c r="K44" s="170" t="s">
        <v>686</v>
      </c>
      <c r="L44" s="171">
        <v>11120</v>
      </c>
    </row>
    <row r="45" spans="3:12" x14ac:dyDescent="0.2">
      <c r="K45" s="172" t="s">
        <v>687</v>
      </c>
      <c r="L45" s="173">
        <v>11530</v>
      </c>
    </row>
    <row r="46" spans="3:12" x14ac:dyDescent="0.2">
      <c r="K46" s="170" t="s">
        <v>688</v>
      </c>
      <c r="L46" s="171">
        <v>11940</v>
      </c>
    </row>
    <row r="47" spans="3:12" x14ac:dyDescent="0.2">
      <c r="K47" s="172" t="s">
        <v>689</v>
      </c>
      <c r="L47" s="173">
        <v>12350</v>
      </c>
    </row>
    <row r="48" spans="3:12" x14ac:dyDescent="0.2">
      <c r="K48" s="170" t="s">
        <v>690</v>
      </c>
      <c r="L48" s="171">
        <v>12760</v>
      </c>
    </row>
    <row r="49" spans="11:12" x14ac:dyDescent="0.2">
      <c r="K49" s="172" t="s">
        <v>691</v>
      </c>
      <c r="L49" s="173">
        <v>13180</v>
      </c>
    </row>
    <row r="50" spans="11:12" x14ac:dyDescent="0.2">
      <c r="K50" s="170" t="s">
        <v>692</v>
      </c>
      <c r="L50" s="171">
        <v>13610</v>
      </c>
    </row>
    <row r="51" spans="11:12" x14ac:dyDescent="0.2">
      <c r="K51" s="172" t="s">
        <v>693</v>
      </c>
      <c r="L51" s="173">
        <v>14030</v>
      </c>
    </row>
    <row r="52" spans="11:12" x14ac:dyDescent="0.2">
      <c r="K52" s="170" t="s">
        <v>694</v>
      </c>
      <c r="L52" s="171">
        <v>14450</v>
      </c>
    </row>
    <row r="53" spans="11:12" x14ac:dyDescent="0.2">
      <c r="K53" s="172" t="s">
        <v>695</v>
      </c>
      <c r="L53" s="173">
        <v>14870</v>
      </c>
    </row>
    <row r="54" spans="11:12" x14ac:dyDescent="0.2">
      <c r="K54" s="170" t="s">
        <v>696</v>
      </c>
      <c r="L54" s="171">
        <v>15290</v>
      </c>
    </row>
    <row r="55" spans="11:12" x14ac:dyDescent="0.2">
      <c r="K55" s="172" t="s">
        <v>697</v>
      </c>
      <c r="L55" s="173">
        <v>15710</v>
      </c>
    </row>
    <row r="56" spans="11:12" x14ac:dyDescent="0.2">
      <c r="K56" s="170" t="s">
        <v>698</v>
      </c>
      <c r="L56" s="171">
        <v>16130</v>
      </c>
    </row>
    <row r="57" spans="11:12" x14ac:dyDescent="0.2">
      <c r="K57" s="172" t="s">
        <v>699</v>
      </c>
      <c r="L57" s="173">
        <v>16540</v>
      </c>
    </row>
    <row r="58" spans="11:12" x14ac:dyDescent="0.2">
      <c r="K58" s="170" t="s">
        <v>700</v>
      </c>
      <c r="L58" s="171">
        <v>16960</v>
      </c>
    </row>
    <row r="59" spans="11:12" x14ac:dyDescent="0.2">
      <c r="K59" s="172" t="s">
        <v>701</v>
      </c>
      <c r="L59" s="173">
        <v>17380</v>
      </c>
    </row>
    <row r="60" spans="11:12" x14ac:dyDescent="0.2">
      <c r="K60" s="170" t="s">
        <v>702</v>
      </c>
      <c r="L60" s="171">
        <v>17800</v>
      </c>
    </row>
    <row r="61" spans="11:12" x14ac:dyDescent="0.2">
      <c r="K61" s="172" t="s">
        <v>703</v>
      </c>
      <c r="L61" s="173">
        <v>18220</v>
      </c>
    </row>
    <row r="62" spans="11:12" x14ac:dyDescent="0.2">
      <c r="K62" s="170" t="s">
        <v>704</v>
      </c>
      <c r="L62" s="171">
        <v>18640</v>
      </c>
    </row>
    <row r="63" spans="11:12" x14ac:dyDescent="0.2">
      <c r="K63" s="172" t="s">
        <v>705</v>
      </c>
      <c r="L63" s="173">
        <v>19060</v>
      </c>
    </row>
    <row r="64" spans="11:12" x14ac:dyDescent="0.2">
      <c r="K64" s="170" t="s">
        <v>706</v>
      </c>
      <c r="L64" s="171">
        <v>19470</v>
      </c>
    </row>
    <row r="65" spans="11:12" x14ac:dyDescent="0.2">
      <c r="K65" s="172" t="s">
        <v>707</v>
      </c>
      <c r="L65" s="173">
        <v>19880</v>
      </c>
    </row>
    <row r="66" spans="11:12" x14ac:dyDescent="0.2">
      <c r="K66" s="170" t="s">
        <v>708</v>
      </c>
      <c r="L66" s="171">
        <v>20330</v>
      </c>
    </row>
    <row r="67" spans="11:12" x14ac:dyDescent="0.2">
      <c r="K67" s="172" t="s">
        <v>709</v>
      </c>
      <c r="L67" s="173">
        <v>20900</v>
      </c>
    </row>
    <row r="68" spans="11:12" x14ac:dyDescent="0.2">
      <c r="K68" s="170" t="s">
        <v>710</v>
      </c>
      <c r="L68" s="171">
        <v>21470</v>
      </c>
    </row>
    <row r="69" spans="11:12" x14ac:dyDescent="0.2">
      <c r="K69" s="172" t="s">
        <v>711</v>
      </c>
      <c r="L69" s="173">
        <v>22040</v>
      </c>
    </row>
    <row r="70" spans="11:12" x14ac:dyDescent="0.2">
      <c r="K70" s="170" t="s">
        <v>712</v>
      </c>
      <c r="L70" s="171">
        <v>22430</v>
      </c>
    </row>
    <row r="71" spans="11:12" x14ac:dyDescent="0.2">
      <c r="K71" s="172" t="s">
        <v>713</v>
      </c>
      <c r="L71" s="173">
        <v>22640</v>
      </c>
    </row>
    <row r="72" spans="11:12" x14ac:dyDescent="0.2">
      <c r="K72" s="170" t="s">
        <v>714</v>
      </c>
      <c r="L72" s="171">
        <v>22860</v>
      </c>
    </row>
    <row r="73" spans="11:12" x14ac:dyDescent="0.2">
      <c r="K73" s="172" t="s">
        <v>715</v>
      </c>
      <c r="L73" s="173">
        <v>23070</v>
      </c>
    </row>
    <row r="74" spans="11:12" x14ac:dyDescent="0.2">
      <c r="K74" s="170" t="s">
        <v>716</v>
      </c>
      <c r="L74" s="171">
        <v>23280</v>
      </c>
    </row>
    <row r="75" spans="11:12" x14ac:dyDescent="0.2">
      <c r="K75" s="172" t="s">
        <v>717</v>
      </c>
      <c r="L75" s="173">
        <v>23600</v>
      </c>
    </row>
    <row r="76" spans="11:12" x14ac:dyDescent="0.2">
      <c r="K76" s="170" t="s">
        <v>718</v>
      </c>
      <c r="L76" s="171">
        <v>24010</v>
      </c>
    </row>
    <row r="77" spans="11:12" x14ac:dyDescent="0.2">
      <c r="K77" s="172" t="s">
        <v>719</v>
      </c>
      <c r="L77" s="173">
        <v>24430</v>
      </c>
    </row>
    <row r="78" spans="11:12" x14ac:dyDescent="0.2">
      <c r="K78" s="170" t="s">
        <v>720</v>
      </c>
      <c r="L78" s="171">
        <v>24850</v>
      </c>
    </row>
    <row r="79" spans="11:12" x14ac:dyDescent="0.2">
      <c r="K79" s="172" t="s">
        <v>721</v>
      </c>
      <c r="L79" s="173">
        <v>25260</v>
      </c>
    </row>
    <row r="80" spans="11:12" x14ac:dyDescent="0.2">
      <c r="K80" s="170" t="s">
        <v>722</v>
      </c>
      <c r="L80" s="171">
        <v>25680</v>
      </c>
    </row>
    <row r="81" spans="11:12" x14ac:dyDescent="0.2">
      <c r="K81" s="172" t="s">
        <v>723</v>
      </c>
      <c r="L81" s="173">
        <v>26090</v>
      </c>
    </row>
    <row r="82" spans="11:12" x14ac:dyDescent="0.2">
      <c r="K82" s="170" t="s">
        <v>724</v>
      </c>
      <c r="L82" s="171">
        <v>26510</v>
      </c>
    </row>
    <row r="83" spans="11:12" x14ac:dyDescent="0.2">
      <c r="K83" s="172" t="s">
        <v>725</v>
      </c>
      <c r="L83" s="173">
        <v>26930</v>
      </c>
    </row>
    <row r="84" spans="11:12" x14ac:dyDescent="0.2">
      <c r="K84" s="170" t="s">
        <v>726</v>
      </c>
      <c r="L84" s="171">
        <v>27340</v>
      </c>
    </row>
    <row r="85" spans="11:12" x14ac:dyDescent="0.2">
      <c r="K85" s="172" t="s">
        <v>727</v>
      </c>
      <c r="L85" s="173">
        <v>27730</v>
      </c>
    </row>
    <row r="86" spans="11:12" x14ac:dyDescent="0.2">
      <c r="K86" s="170" t="s">
        <v>728</v>
      </c>
      <c r="L86" s="171">
        <v>28080</v>
      </c>
    </row>
    <row r="87" spans="11:12" x14ac:dyDescent="0.2">
      <c r="K87" s="172" t="s">
        <v>729</v>
      </c>
      <c r="L87" s="173">
        <v>28440</v>
      </c>
    </row>
    <row r="88" spans="11:12" x14ac:dyDescent="0.2">
      <c r="K88" s="170" t="s">
        <v>730</v>
      </c>
      <c r="L88" s="171">
        <v>28800</v>
      </c>
    </row>
    <row r="89" spans="11:12" x14ac:dyDescent="0.2">
      <c r="K89" s="172" t="s">
        <v>731</v>
      </c>
      <c r="L89" s="173">
        <v>29150</v>
      </c>
    </row>
    <row r="90" spans="11:12" x14ac:dyDescent="0.2">
      <c r="K90" s="170" t="s">
        <v>732</v>
      </c>
      <c r="L90" s="171">
        <v>29570</v>
      </c>
    </row>
    <row r="91" spans="11:12" x14ac:dyDescent="0.2">
      <c r="K91" s="172" t="s">
        <v>733</v>
      </c>
      <c r="L91" s="173">
        <v>30050</v>
      </c>
    </row>
    <row r="92" spans="11:12" x14ac:dyDescent="0.2">
      <c r="K92" s="170" t="s">
        <v>734</v>
      </c>
      <c r="L92" s="171">
        <v>30530</v>
      </c>
    </row>
    <row r="93" spans="11:12" x14ac:dyDescent="0.2">
      <c r="K93" s="172" t="s">
        <v>735</v>
      </c>
      <c r="L93" s="173">
        <v>31010</v>
      </c>
    </row>
    <row r="94" spans="11:12" x14ac:dyDescent="0.2">
      <c r="K94" s="170" t="s">
        <v>736</v>
      </c>
      <c r="L94" s="171">
        <v>31490</v>
      </c>
    </row>
    <row r="95" spans="11:12" x14ac:dyDescent="0.2">
      <c r="K95" s="172" t="s">
        <v>737</v>
      </c>
      <c r="L95" s="173">
        <v>31940</v>
      </c>
    </row>
    <row r="96" spans="11:12" x14ac:dyDescent="0.2">
      <c r="K96" s="170" t="s">
        <v>738</v>
      </c>
      <c r="L96" s="171">
        <v>32360</v>
      </c>
    </row>
    <row r="97" spans="11:12" x14ac:dyDescent="0.2">
      <c r="K97" s="172" t="s">
        <v>739</v>
      </c>
      <c r="L97" s="173">
        <v>32780</v>
      </c>
    </row>
    <row r="98" spans="11:12" x14ac:dyDescent="0.2">
      <c r="K98" s="170" t="s">
        <v>740</v>
      </c>
      <c r="L98" s="171">
        <v>33210</v>
      </c>
    </row>
    <row r="99" spans="11:12" x14ac:dyDescent="0.2">
      <c r="K99" s="172" t="s">
        <v>741</v>
      </c>
      <c r="L99" s="173">
        <v>33630</v>
      </c>
    </row>
    <row r="100" spans="11:12" x14ac:dyDescent="0.2">
      <c r="K100" s="170" t="s">
        <v>742</v>
      </c>
      <c r="L100" s="171">
        <v>34050</v>
      </c>
    </row>
    <row r="101" spans="11:12" x14ac:dyDescent="0.2">
      <c r="K101" s="172" t="s">
        <v>743</v>
      </c>
      <c r="L101" s="173">
        <v>34470</v>
      </c>
    </row>
    <row r="102" spans="11:12" x14ac:dyDescent="0.2">
      <c r="K102" s="170" t="s">
        <v>744</v>
      </c>
      <c r="L102" s="171">
        <v>34900</v>
      </c>
    </row>
    <row r="103" spans="11:12" x14ac:dyDescent="0.2">
      <c r="K103" s="172" t="s">
        <v>745</v>
      </c>
      <c r="L103" s="173">
        <v>35320</v>
      </c>
    </row>
    <row r="104" spans="11:12" x14ac:dyDescent="0.2">
      <c r="K104" s="170" t="s">
        <v>746</v>
      </c>
      <c r="L104" s="171">
        <v>35740</v>
      </c>
    </row>
    <row r="105" spans="11:12" x14ac:dyDescent="0.2">
      <c r="K105" s="172" t="s">
        <v>747</v>
      </c>
      <c r="L105" s="173">
        <v>36160</v>
      </c>
    </row>
    <row r="106" spans="11:12" x14ac:dyDescent="0.2">
      <c r="K106" s="170" t="s">
        <v>748</v>
      </c>
      <c r="L106" s="171">
        <v>36580</v>
      </c>
    </row>
    <row r="107" spans="11:12" x14ac:dyDescent="0.2">
      <c r="K107" s="172" t="s">
        <v>749</v>
      </c>
      <c r="L107" s="173">
        <v>37000</v>
      </c>
    </row>
    <row r="108" spans="11:12" x14ac:dyDescent="0.2">
      <c r="K108" s="170" t="s">
        <v>750</v>
      </c>
      <c r="L108" s="171">
        <v>37410</v>
      </c>
    </row>
    <row r="109" spans="11:12" x14ac:dyDescent="0.2">
      <c r="K109" s="172" t="s">
        <v>751</v>
      </c>
      <c r="L109" s="173">
        <v>37830</v>
      </c>
    </row>
    <row r="110" spans="11:12" x14ac:dyDescent="0.2">
      <c r="K110" s="170" t="s">
        <v>752</v>
      </c>
      <c r="L110" s="171">
        <v>38250</v>
      </c>
    </row>
    <row r="111" spans="11:12" x14ac:dyDescent="0.2">
      <c r="K111" s="172" t="s">
        <v>753</v>
      </c>
      <c r="L111" s="173">
        <v>38670</v>
      </c>
    </row>
    <row r="112" spans="11:12" x14ac:dyDescent="0.2">
      <c r="K112" s="170" t="s">
        <v>754</v>
      </c>
      <c r="L112" s="171">
        <v>39080</v>
      </c>
    </row>
    <row r="113" spans="11:12" x14ac:dyDescent="0.2">
      <c r="K113" s="172" t="s">
        <v>755</v>
      </c>
      <c r="L113" s="173">
        <v>39500</v>
      </c>
    </row>
    <row r="114" spans="11:12" x14ac:dyDescent="0.2">
      <c r="K114" s="170" t="s">
        <v>756</v>
      </c>
      <c r="L114" s="171">
        <v>39920</v>
      </c>
    </row>
    <row r="115" spans="11:12" x14ac:dyDescent="0.2">
      <c r="K115" s="172" t="s">
        <v>757</v>
      </c>
      <c r="L115" s="173">
        <v>40340</v>
      </c>
    </row>
    <row r="116" spans="11:12" x14ac:dyDescent="0.2">
      <c r="K116" s="170" t="s">
        <v>758</v>
      </c>
      <c r="L116" s="171">
        <v>40750</v>
      </c>
    </row>
    <row r="117" spans="11:12" x14ac:dyDescent="0.2">
      <c r="K117" s="172" t="s">
        <v>759</v>
      </c>
      <c r="L117" s="173">
        <v>41160</v>
      </c>
    </row>
    <row r="118" spans="11:12" x14ac:dyDescent="0.2">
      <c r="K118" s="170" t="s">
        <v>760</v>
      </c>
      <c r="L118" s="171">
        <v>41580</v>
      </c>
    </row>
    <row r="119" spans="11:12" x14ac:dyDescent="0.2">
      <c r="K119" s="172" t="s">
        <v>761</v>
      </c>
      <c r="L119" s="173">
        <v>41990</v>
      </c>
    </row>
    <row r="120" spans="11:12" x14ac:dyDescent="0.2">
      <c r="K120" s="170" t="s">
        <v>762</v>
      </c>
      <c r="L120" s="171">
        <v>42410</v>
      </c>
    </row>
    <row r="121" spans="11:12" x14ac:dyDescent="0.2">
      <c r="K121" s="172" t="s">
        <v>763</v>
      </c>
      <c r="L121" s="173">
        <v>42820</v>
      </c>
    </row>
    <row r="122" spans="11:12" x14ac:dyDescent="0.2">
      <c r="K122" s="170" t="s">
        <v>764</v>
      </c>
      <c r="L122" s="171">
        <v>43240</v>
      </c>
    </row>
    <row r="123" spans="11:12" x14ac:dyDescent="0.2">
      <c r="K123" s="172" t="s">
        <v>765</v>
      </c>
      <c r="L123" s="173">
        <v>43660</v>
      </c>
    </row>
    <row r="124" spans="11:12" x14ac:dyDescent="0.2">
      <c r="K124" s="170" t="s">
        <v>766</v>
      </c>
      <c r="L124" s="171">
        <v>44070</v>
      </c>
    </row>
    <row r="125" spans="11:12" x14ac:dyDescent="0.2">
      <c r="K125" s="172" t="s">
        <v>767</v>
      </c>
      <c r="L125" s="173">
        <v>44490</v>
      </c>
    </row>
    <row r="126" spans="11:12" x14ac:dyDescent="0.2">
      <c r="K126" s="170" t="s">
        <v>768</v>
      </c>
      <c r="L126" s="171">
        <v>44920</v>
      </c>
    </row>
    <row r="127" spans="11:12" x14ac:dyDescent="0.2">
      <c r="K127" s="172" t="s">
        <v>769</v>
      </c>
      <c r="L127" s="173">
        <v>45340</v>
      </c>
    </row>
    <row r="128" spans="11:12" x14ac:dyDescent="0.2">
      <c r="K128" s="170" t="s">
        <v>770</v>
      </c>
      <c r="L128" s="171">
        <v>45770</v>
      </c>
    </row>
    <row r="129" spans="11:12" x14ac:dyDescent="0.2">
      <c r="K129" s="172" t="s">
        <v>771</v>
      </c>
      <c r="L129" s="173">
        <v>46200</v>
      </c>
    </row>
    <row r="130" spans="11:12" x14ac:dyDescent="0.2">
      <c r="K130" s="170" t="s">
        <v>772</v>
      </c>
      <c r="L130" s="171">
        <v>46620</v>
      </c>
    </row>
    <row r="131" spans="11:12" x14ac:dyDescent="0.2">
      <c r="K131" s="172" t="s">
        <v>773</v>
      </c>
      <c r="L131" s="173">
        <v>47030</v>
      </c>
    </row>
    <row r="132" spans="11:12" x14ac:dyDescent="0.2">
      <c r="K132" s="170" t="s">
        <v>774</v>
      </c>
      <c r="L132" s="171">
        <v>47440</v>
      </c>
    </row>
    <row r="133" spans="11:12" x14ac:dyDescent="0.2">
      <c r="K133" s="172" t="s">
        <v>775</v>
      </c>
      <c r="L133" s="173">
        <v>47860</v>
      </c>
    </row>
    <row r="134" spans="11:12" x14ac:dyDescent="0.2">
      <c r="K134" s="170" t="s">
        <v>776</v>
      </c>
      <c r="L134" s="171">
        <v>48270</v>
      </c>
    </row>
    <row r="135" spans="11:12" x14ac:dyDescent="0.2">
      <c r="K135" s="172" t="s">
        <v>777</v>
      </c>
      <c r="L135" s="173">
        <v>48690</v>
      </c>
    </row>
    <row r="136" spans="11:12" x14ac:dyDescent="0.2">
      <c r="K136" s="170" t="s">
        <v>778</v>
      </c>
      <c r="L136" s="171">
        <v>49110</v>
      </c>
    </row>
    <row r="137" spans="11:12" x14ac:dyDescent="0.2">
      <c r="K137" s="172" t="s">
        <v>779</v>
      </c>
      <c r="L137" s="173">
        <v>49540</v>
      </c>
    </row>
    <row r="138" spans="11:12" x14ac:dyDescent="0.2">
      <c r="K138" s="170" t="s">
        <v>780</v>
      </c>
      <c r="L138" s="171">
        <v>49960</v>
      </c>
    </row>
    <row r="139" spans="11:12" x14ac:dyDescent="0.2">
      <c r="K139" s="172" t="s">
        <v>781</v>
      </c>
      <c r="L139" s="173">
        <v>50380</v>
      </c>
    </row>
    <row r="140" spans="11:12" x14ac:dyDescent="0.2">
      <c r="K140" s="170" t="s">
        <v>782</v>
      </c>
      <c r="L140" s="171">
        <v>50800</v>
      </c>
    </row>
    <row r="141" spans="11:12" x14ac:dyDescent="0.2">
      <c r="K141" s="172" t="s">
        <v>783</v>
      </c>
      <c r="L141" s="173">
        <v>51220</v>
      </c>
    </row>
    <row r="142" spans="11:12" x14ac:dyDescent="0.2">
      <c r="K142" s="170" t="s">
        <v>784</v>
      </c>
      <c r="L142" s="171">
        <v>51540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F953-8724-4F40-BB7A-DB4CC4F283D9}">
  <sheetPr>
    <tabColor rgb="FFFF0000"/>
  </sheetPr>
  <dimension ref="B2:K39"/>
  <sheetViews>
    <sheetView workbookViewId="0">
      <selection activeCell="D8" sqref="D8"/>
    </sheetView>
  </sheetViews>
  <sheetFormatPr baseColWidth="10" defaultRowHeight="12.75" x14ac:dyDescent="0.2"/>
  <sheetData>
    <row r="2" spans="2:11" ht="20.25" x14ac:dyDescent="0.3">
      <c r="B2" s="10" t="s">
        <v>22</v>
      </c>
    </row>
    <row r="4" spans="2:11" x14ac:dyDescent="0.2">
      <c r="B4" s="1" t="s">
        <v>0</v>
      </c>
      <c r="C4" s="1" t="s">
        <v>582</v>
      </c>
      <c r="F4" s="1" t="s">
        <v>19</v>
      </c>
      <c r="G4" s="12" t="s">
        <v>29</v>
      </c>
      <c r="H4" s="13"/>
    </row>
    <row r="5" spans="2:11" x14ac:dyDescent="0.2">
      <c r="C5" s="1" t="s">
        <v>584</v>
      </c>
      <c r="F5" s="1"/>
      <c r="G5" s="12"/>
      <c r="H5" s="13"/>
    </row>
    <row r="6" spans="2:11" x14ac:dyDescent="0.2">
      <c r="B6" s="1"/>
      <c r="C6" s="4" t="s">
        <v>1</v>
      </c>
      <c r="F6" s="1"/>
      <c r="G6" s="12"/>
      <c r="H6" s="13"/>
    </row>
    <row r="7" spans="2:11" x14ac:dyDescent="0.2">
      <c r="B7" s="1"/>
      <c r="C7" s="4"/>
      <c r="F7" s="1"/>
      <c r="G7" s="12"/>
      <c r="H7" s="13"/>
    </row>
    <row r="8" spans="2:11" x14ac:dyDescent="0.2">
      <c r="B8" s="1"/>
      <c r="C8" s="4"/>
      <c r="F8" s="1"/>
      <c r="G8" s="12"/>
      <c r="H8" s="13"/>
    </row>
    <row r="9" spans="2:11" x14ac:dyDescent="0.2">
      <c r="B9" s="44" t="s">
        <v>18</v>
      </c>
      <c r="C9" s="40" t="s">
        <v>1</v>
      </c>
      <c r="D9" s="40"/>
      <c r="E9" s="40"/>
      <c r="F9" s="44"/>
      <c r="G9" s="44"/>
      <c r="H9" s="116"/>
    </row>
    <row r="10" spans="2:11" x14ac:dyDescent="0.2">
      <c r="B10" s="44"/>
      <c r="C10" s="117" t="s">
        <v>1</v>
      </c>
      <c r="D10" s="40"/>
      <c r="E10" s="40"/>
      <c r="F10" s="44" t="s">
        <v>10</v>
      </c>
      <c r="G10" s="118">
        <f>Felles!C2</f>
        <v>46265</v>
      </c>
      <c r="H10" s="116"/>
    </row>
    <row r="11" spans="2:11" x14ac:dyDescent="0.2">
      <c r="B11" s="44"/>
      <c r="C11" s="40"/>
      <c r="D11" s="40"/>
      <c r="E11" s="40"/>
      <c r="F11" s="40"/>
      <c r="G11" s="40"/>
      <c r="H11" s="40"/>
    </row>
    <row r="12" spans="2:11" x14ac:dyDescent="0.2">
      <c r="B12" s="43" t="s">
        <v>7</v>
      </c>
      <c r="C12" s="40"/>
      <c r="D12" s="40"/>
      <c r="E12" s="40"/>
      <c r="F12" s="40" t="s">
        <v>1</v>
      </c>
      <c r="G12" s="40"/>
      <c r="H12" s="40"/>
    </row>
    <row r="13" spans="2:11" x14ac:dyDescent="0.2">
      <c r="B13" s="44" t="s">
        <v>8</v>
      </c>
      <c r="C13" s="119" t="s">
        <v>585</v>
      </c>
      <c r="D13" s="40"/>
      <c r="E13" s="40"/>
      <c r="F13" s="40" t="s">
        <v>189</v>
      </c>
      <c r="G13" s="50" t="s">
        <v>583</v>
      </c>
      <c r="H13" s="44"/>
      <c r="I13" s="44" t="s">
        <v>601</v>
      </c>
      <c r="J13" s="44"/>
      <c r="K13" s="44"/>
    </row>
    <row r="14" spans="2:11" x14ac:dyDescent="0.2">
      <c r="B14" s="44" t="s">
        <v>9</v>
      </c>
      <c r="C14" s="40"/>
      <c r="D14" s="40"/>
      <c r="E14" s="40"/>
      <c r="F14" s="40"/>
      <c r="G14" s="40"/>
      <c r="H14" s="40"/>
    </row>
    <row r="15" spans="2:11" x14ac:dyDescent="0.2">
      <c r="B15" s="44"/>
      <c r="C15" s="40"/>
      <c r="D15" s="40"/>
      <c r="E15" s="40"/>
      <c r="F15" s="40" t="s">
        <v>117</v>
      </c>
      <c r="G15" s="40"/>
      <c r="H15" s="40"/>
    </row>
    <row r="16" spans="2:11" x14ac:dyDescent="0.2">
      <c r="B16" s="44" t="s">
        <v>16</v>
      </c>
      <c r="C16" s="119" t="s">
        <v>29</v>
      </c>
      <c r="D16" s="40"/>
      <c r="E16" s="40"/>
      <c r="F16" s="50" t="s">
        <v>195</v>
      </c>
      <c r="G16" s="40"/>
      <c r="H16" s="40"/>
    </row>
    <row r="17" spans="2:9" x14ac:dyDescent="0.2">
      <c r="B17" s="44"/>
      <c r="C17" s="40"/>
      <c r="D17" s="40"/>
      <c r="E17" s="40"/>
      <c r="F17" s="40" t="s">
        <v>1</v>
      </c>
      <c r="G17" s="40"/>
      <c r="H17" s="40"/>
    </row>
    <row r="18" spans="2:9" x14ac:dyDescent="0.2">
      <c r="B18" s="44"/>
      <c r="C18" s="116"/>
      <c r="D18" s="40"/>
      <c r="E18" s="40"/>
      <c r="F18" s="43" t="s">
        <v>1</v>
      </c>
      <c r="G18" s="40"/>
      <c r="H18" s="40"/>
    </row>
    <row r="19" spans="2:9" x14ac:dyDescent="0.2">
      <c r="B19" s="44" t="s">
        <v>11</v>
      </c>
      <c r="C19" s="116" t="s">
        <v>39</v>
      </c>
      <c r="D19" s="40"/>
      <c r="E19" s="40"/>
      <c r="F19" s="40" t="s">
        <v>1</v>
      </c>
      <c r="G19" s="40"/>
      <c r="H19" s="40"/>
    </row>
    <row r="20" spans="2:9" x14ac:dyDescent="0.2">
      <c r="B20" s="44" t="s">
        <v>20</v>
      </c>
      <c r="C20" s="116" t="s">
        <v>1</v>
      </c>
      <c r="D20" s="40"/>
      <c r="E20" s="40"/>
      <c r="F20" s="40" t="s">
        <v>1</v>
      </c>
      <c r="G20" s="40"/>
      <c r="H20" s="40"/>
    </row>
    <row r="21" spans="2:9" x14ac:dyDescent="0.2">
      <c r="B21" s="44"/>
      <c r="C21" s="116"/>
      <c r="D21" s="40"/>
      <c r="E21" s="40"/>
      <c r="F21" s="40"/>
      <c r="G21" s="40"/>
      <c r="H21" s="40"/>
    </row>
    <row r="22" spans="2:9" x14ac:dyDescent="0.2">
      <c r="B22" s="44"/>
      <c r="C22" s="116"/>
      <c r="D22" s="40"/>
      <c r="E22" s="40"/>
      <c r="F22" s="40"/>
      <c r="G22" s="40"/>
      <c r="H22" s="40"/>
    </row>
    <row r="23" spans="2:9" x14ac:dyDescent="0.2">
      <c r="B23" s="44"/>
      <c r="C23" s="40"/>
      <c r="D23" s="40"/>
      <c r="E23" s="40"/>
      <c r="F23" s="40"/>
      <c r="G23" s="40"/>
      <c r="H23" s="40"/>
    </row>
    <row r="24" spans="2:9" x14ac:dyDescent="0.2">
      <c r="B24" s="43" t="s">
        <v>15</v>
      </c>
      <c r="C24" s="120"/>
      <c r="D24" s="40"/>
      <c r="E24" s="121" t="s">
        <v>12</v>
      </c>
      <c r="F24" s="121" t="s">
        <v>13</v>
      </c>
      <c r="G24" s="43"/>
      <c r="H24" s="122" t="s">
        <v>14</v>
      </c>
    </row>
    <row r="25" spans="2:9" x14ac:dyDescent="0.2">
      <c r="B25" s="40"/>
      <c r="C25" s="40"/>
      <c r="D25" s="40"/>
      <c r="E25" s="40"/>
      <c r="F25" s="40"/>
      <c r="G25" s="40"/>
      <c r="H25" s="47"/>
    </row>
    <row r="26" spans="2:9" x14ac:dyDescent="0.2">
      <c r="B26" s="50" t="s">
        <v>168</v>
      </c>
      <c r="C26" s="40"/>
      <c r="D26" s="40" t="str">
        <f>Felles!C4</f>
        <v>August</v>
      </c>
      <c r="E26" s="40">
        <v>0</v>
      </c>
      <c r="F26" s="47">
        <v>3470</v>
      </c>
      <c r="G26" s="75"/>
      <c r="H26" s="47">
        <f>E26*F26</f>
        <v>0</v>
      </c>
      <c r="I26" s="40"/>
    </row>
    <row r="27" spans="2:9" x14ac:dyDescent="0.2">
      <c r="B27" s="4" t="s">
        <v>1</v>
      </c>
      <c r="F27" s="17"/>
      <c r="G27" s="18"/>
      <c r="H27" s="17"/>
    </row>
    <row r="28" spans="2:9" x14ac:dyDescent="0.2">
      <c r="F28" s="17"/>
      <c r="G28" s="18"/>
      <c r="H28" s="17"/>
    </row>
    <row r="29" spans="2:9" x14ac:dyDescent="0.2">
      <c r="F29" s="17"/>
      <c r="G29" s="18"/>
      <c r="H29" s="17"/>
    </row>
    <row r="30" spans="2:9" x14ac:dyDescent="0.2">
      <c r="F30" s="17"/>
      <c r="G30" s="18"/>
      <c r="H30" s="17"/>
    </row>
    <row r="31" spans="2:9" x14ac:dyDescent="0.2">
      <c r="B31" t="s">
        <v>1</v>
      </c>
      <c r="F31" s="17"/>
      <c r="G31" s="18"/>
      <c r="H31" s="17"/>
    </row>
    <row r="32" spans="2:9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94AC-ACF0-4BD4-B510-70791B7D332C}">
  <sheetPr codeName="Ark5">
    <pageSetUpPr fitToPage="1"/>
  </sheetPr>
  <dimension ref="B2:I39"/>
  <sheetViews>
    <sheetView workbookViewId="0">
      <selection activeCell="F40" sqref="F40"/>
    </sheetView>
  </sheetViews>
  <sheetFormatPr baseColWidth="10" defaultRowHeight="12.75" x14ac:dyDescent="0.2"/>
  <sheetData>
    <row r="2" spans="2:9" ht="20.25" x14ac:dyDescent="0.3">
      <c r="B2" s="10" t="s">
        <v>22</v>
      </c>
    </row>
    <row r="4" spans="2:9" x14ac:dyDescent="0.2">
      <c r="B4" s="1" t="s">
        <v>0</v>
      </c>
      <c r="C4" t="s">
        <v>422</v>
      </c>
      <c r="F4" s="1" t="s">
        <v>19</v>
      </c>
      <c r="G4" s="12" t="s">
        <v>29</v>
      </c>
      <c r="H4" s="13"/>
    </row>
    <row r="5" spans="2:9" x14ac:dyDescent="0.2">
      <c r="B5" s="1"/>
      <c r="C5" s="1" t="s">
        <v>421</v>
      </c>
      <c r="F5" s="1"/>
      <c r="G5" s="12"/>
      <c r="H5" s="13"/>
    </row>
    <row r="6" spans="2:9" x14ac:dyDescent="0.2">
      <c r="B6" s="1"/>
      <c r="C6" s="4" t="s">
        <v>1</v>
      </c>
      <c r="F6" s="1"/>
      <c r="G6" s="12"/>
      <c r="H6" s="13"/>
    </row>
    <row r="7" spans="2:9" x14ac:dyDescent="0.2">
      <c r="B7" s="1"/>
      <c r="C7" s="4"/>
      <c r="F7" s="1" t="s">
        <v>10</v>
      </c>
      <c r="G7" s="15">
        <f>Felles!C2</f>
        <v>46265</v>
      </c>
      <c r="H7" s="13"/>
    </row>
    <row r="8" spans="2:9" x14ac:dyDescent="0.2">
      <c r="B8" s="1"/>
      <c r="C8" s="4"/>
      <c r="H8" s="13"/>
    </row>
    <row r="9" spans="2:9" x14ac:dyDescent="0.2">
      <c r="B9" s="1" t="s">
        <v>18</v>
      </c>
      <c r="C9" s="4" t="s">
        <v>1</v>
      </c>
      <c r="F9" s="4" t="s">
        <v>1</v>
      </c>
      <c r="H9" s="13"/>
    </row>
    <row r="10" spans="2:9" x14ac:dyDescent="0.2">
      <c r="B10" s="1"/>
      <c r="C10" s="14" t="s">
        <v>1</v>
      </c>
      <c r="F10" t="s">
        <v>189</v>
      </c>
      <c r="G10" s="61">
        <v>45231</v>
      </c>
      <c r="H10" s="13"/>
    </row>
    <row r="11" spans="2:9" x14ac:dyDescent="0.2">
      <c r="B11" s="1"/>
    </row>
    <row r="12" spans="2:9" x14ac:dyDescent="0.2">
      <c r="B12" s="8" t="s">
        <v>7</v>
      </c>
      <c r="F12" s="4" t="s">
        <v>425</v>
      </c>
    </row>
    <row r="13" spans="2:9" x14ac:dyDescent="0.2">
      <c r="B13" s="1" t="s">
        <v>8</v>
      </c>
      <c r="C13" s="11" t="s">
        <v>423</v>
      </c>
      <c r="F13" s="20" t="s">
        <v>1</v>
      </c>
    </row>
    <row r="14" spans="2:9" x14ac:dyDescent="0.2">
      <c r="B14" s="1" t="s">
        <v>9</v>
      </c>
      <c r="F14" s="48" t="s">
        <v>426</v>
      </c>
      <c r="G14">
        <v>2024</v>
      </c>
      <c r="H14" s="108">
        <v>2025</v>
      </c>
      <c r="I14" s="40">
        <v>2026</v>
      </c>
    </row>
    <row r="15" spans="2:9" x14ac:dyDescent="0.2">
      <c r="B15" s="1"/>
      <c r="F15" s="89" t="s">
        <v>427</v>
      </c>
      <c r="G15">
        <v>1260</v>
      </c>
      <c r="H15">
        <v>1290</v>
      </c>
      <c r="I15">
        <v>1330</v>
      </c>
    </row>
    <row r="16" spans="2:9" x14ac:dyDescent="0.2">
      <c r="B16" s="1" t="s">
        <v>16</v>
      </c>
      <c r="C16" s="11" t="s">
        <v>29</v>
      </c>
      <c r="F16" s="89" t="s">
        <v>428</v>
      </c>
      <c r="G16">
        <v>1450</v>
      </c>
      <c r="H16">
        <v>1490</v>
      </c>
      <c r="I16">
        <v>1540</v>
      </c>
    </row>
    <row r="17" spans="2:9" x14ac:dyDescent="0.2">
      <c r="B17" s="1"/>
      <c r="F17" s="89" t="s">
        <v>429</v>
      </c>
      <c r="G17">
        <v>1670</v>
      </c>
      <c r="H17">
        <v>1720</v>
      </c>
      <c r="I17">
        <v>1780</v>
      </c>
    </row>
    <row r="18" spans="2:9" x14ac:dyDescent="0.2">
      <c r="B18" s="1"/>
      <c r="C18" s="13"/>
      <c r="F18" s="89" t="s">
        <v>430</v>
      </c>
      <c r="G18">
        <v>1860</v>
      </c>
      <c r="H18">
        <v>1920</v>
      </c>
      <c r="I18">
        <v>1980</v>
      </c>
    </row>
    <row r="19" spans="2:9" x14ac:dyDescent="0.2">
      <c r="B19" s="1" t="s">
        <v>11</v>
      </c>
      <c r="C19" s="13" t="s">
        <v>39</v>
      </c>
      <c r="F19" s="89" t="s">
        <v>431</v>
      </c>
      <c r="G19">
        <v>2080</v>
      </c>
      <c r="H19">
        <v>2140</v>
      </c>
      <c r="I19">
        <v>2200</v>
      </c>
    </row>
    <row r="20" spans="2:9" x14ac:dyDescent="0.2">
      <c r="B20" s="1" t="s">
        <v>20</v>
      </c>
      <c r="C20" s="13" t="s">
        <v>1</v>
      </c>
      <c r="F20" s="89" t="s">
        <v>432</v>
      </c>
      <c r="G20">
        <v>2350</v>
      </c>
      <c r="H20">
        <v>2420</v>
      </c>
      <c r="I20">
        <v>2495</v>
      </c>
    </row>
    <row r="21" spans="2:9" x14ac:dyDescent="0.2">
      <c r="B21" s="1"/>
      <c r="C21" s="13"/>
      <c r="F21" s="89" t="s">
        <v>433</v>
      </c>
      <c r="G21">
        <v>2680</v>
      </c>
      <c r="H21">
        <v>2760</v>
      </c>
      <c r="I21">
        <v>2850</v>
      </c>
    </row>
    <row r="22" spans="2:9" x14ac:dyDescent="0.2">
      <c r="B22" s="1"/>
      <c r="C22" s="13"/>
    </row>
    <row r="23" spans="2:9" x14ac:dyDescent="0.2">
      <c r="B23" s="1"/>
    </row>
    <row r="24" spans="2:9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9" x14ac:dyDescent="0.2">
      <c r="H25" s="17"/>
    </row>
    <row r="26" spans="2:9" x14ac:dyDescent="0.2">
      <c r="B26" s="49" t="s">
        <v>168</v>
      </c>
      <c r="D26" s="108" t="s">
        <v>31</v>
      </c>
      <c r="E26">
        <v>1</v>
      </c>
      <c r="F26" s="17">
        <v>1330</v>
      </c>
      <c r="G26" s="18"/>
      <c r="H26" s="17">
        <f>E26*F26</f>
        <v>1330</v>
      </c>
    </row>
    <row r="27" spans="2:9" x14ac:dyDescent="0.2">
      <c r="B27" s="4" t="s">
        <v>1</v>
      </c>
      <c r="F27" s="17"/>
      <c r="G27" s="18"/>
      <c r="H27" s="17"/>
    </row>
    <row r="28" spans="2:9" x14ac:dyDescent="0.2">
      <c r="F28" s="17"/>
      <c r="G28" s="18"/>
      <c r="H28" s="17"/>
    </row>
    <row r="29" spans="2:9" x14ac:dyDescent="0.2">
      <c r="F29" s="17"/>
      <c r="G29" s="18"/>
      <c r="H29" s="17"/>
    </row>
    <row r="30" spans="2:9" x14ac:dyDescent="0.2">
      <c r="F30" s="17"/>
      <c r="G30" s="18"/>
      <c r="H30" s="17"/>
    </row>
    <row r="31" spans="2:9" x14ac:dyDescent="0.2">
      <c r="B31" t="s">
        <v>1</v>
      </c>
      <c r="F31" s="17"/>
      <c r="G31" s="18"/>
      <c r="H31" s="17"/>
    </row>
    <row r="32" spans="2:9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1330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312B-EA4A-4AD1-A43B-C2ADB758E932}">
  <sheetPr codeName="Ark24">
    <pageSetUpPr fitToPage="1"/>
  </sheetPr>
  <dimension ref="B2:P60"/>
  <sheetViews>
    <sheetView topLeftCell="A26" workbookViewId="0">
      <selection activeCell="D49" sqref="D49"/>
    </sheetView>
  </sheetViews>
  <sheetFormatPr baseColWidth="10" defaultRowHeight="12.75" x14ac:dyDescent="0.2"/>
  <sheetData>
    <row r="2" spans="2:9" ht="20.25" x14ac:dyDescent="0.3">
      <c r="B2" s="10" t="s">
        <v>22</v>
      </c>
    </row>
    <row r="4" spans="2:9" x14ac:dyDescent="0.2">
      <c r="B4" s="1" t="s">
        <v>0</v>
      </c>
      <c r="C4" s="53" t="s">
        <v>238</v>
      </c>
      <c r="F4" s="1" t="s">
        <v>19</v>
      </c>
      <c r="G4" s="12" t="s">
        <v>1</v>
      </c>
      <c r="H4" s="13"/>
    </row>
    <row r="5" spans="2:9" x14ac:dyDescent="0.2">
      <c r="B5" s="1"/>
      <c r="C5" s="4" t="s">
        <v>1</v>
      </c>
      <c r="F5" s="1"/>
      <c r="G5" s="12"/>
      <c r="H5" s="13"/>
    </row>
    <row r="6" spans="2:9" x14ac:dyDescent="0.2">
      <c r="B6" s="1"/>
      <c r="C6" s="4" t="s">
        <v>1</v>
      </c>
      <c r="F6" s="1"/>
      <c r="G6" s="12"/>
      <c r="H6" s="13"/>
    </row>
    <row r="7" spans="2:9" x14ac:dyDescent="0.2">
      <c r="B7" s="1"/>
      <c r="C7" s="4"/>
      <c r="F7" s="1"/>
      <c r="G7" s="12"/>
      <c r="H7" s="13"/>
    </row>
    <row r="8" spans="2:9" x14ac:dyDescent="0.2">
      <c r="B8" s="1"/>
      <c r="C8" s="4"/>
      <c r="F8" s="1"/>
      <c r="G8" s="12"/>
      <c r="H8" s="13"/>
    </row>
    <row r="9" spans="2:9" x14ac:dyDescent="0.2">
      <c r="B9" s="1" t="s">
        <v>18</v>
      </c>
      <c r="C9" s="4" t="s">
        <v>46</v>
      </c>
      <c r="F9" s="1"/>
      <c r="G9" s="1"/>
      <c r="H9" s="13"/>
    </row>
    <row r="10" spans="2:9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9" x14ac:dyDescent="0.2">
      <c r="B11" s="1"/>
    </row>
    <row r="12" spans="2:9" x14ac:dyDescent="0.2">
      <c r="B12" s="8" t="s">
        <v>7</v>
      </c>
      <c r="F12" t="s">
        <v>1</v>
      </c>
      <c r="I12" s="46" t="s">
        <v>1</v>
      </c>
    </row>
    <row r="13" spans="2:9" x14ac:dyDescent="0.2">
      <c r="B13" s="1" t="s">
        <v>8</v>
      </c>
      <c r="C13" s="4" t="s">
        <v>208</v>
      </c>
      <c r="F13" t="s">
        <v>1</v>
      </c>
      <c r="G13" t="s">
        <v>196</v>
      </c>
    </row>
    <row r="14" spans="2:9" x14ac:dyDescent="0.2">
      <c r="B14" s="1" t="s">
        <v>9</v>
      </c>
      <c r="C14" s="42" t="s">
        <v>1</v>
      </c>
      <c r="F14" t="s">
        <v>1</v>
      </c>
    </row>
    <row r="15" spans="2:9" x14ac:dyDescent="0.2">
      <c r="B15" s="1"/>
      <c r="F15" t="s">
        <v>1</v>
      </c>
      <c r="G15" s="20" t="s">
        <v>197</v>
      </c>
    </row>
    <row r="16" spans="2:9" x14ac:dyDescent="0.2">
      <c r="B16" s="1" t="s">
        <v>16</v>
      </c>
      <c r="C16" s="11" t="s">
        <v>29</v>
      </c>
    </row>
    <row r="17" spans="2:16" x14ac:dyDescent="0.2">
      <c r="B17" s="1"/>
      <c r="G17" s="44" t="s">
        <v>209</v>
      </c>
    </row>
    <row r="18" spans="2:16" x14ac:dyDescent="0.2">
      <c r="B18" s="1"/>
      <c r="C18" s="13"/>
      <c r="G18" s="54" t="s">
        <v>210</v>
      </c>
    </row>
    <row r="19" spans="2:16" x14ac:dyDescent="0.2">
      <c r="B19" s="1" t="s">
        <v>11</v>
      </c>
      <c r="C19" s="13" t="s">
        <v>39</v>
      </c>
      <c r="G19" s="72">
        <v>42826</v>
      </c>
      <c r="I19" s="4" t="s">
        <v>239</v>
      </c>
    </row>
    <row r="20" spans="2:16" x14ac:dyDescent="0.2">
      <c r="B20" s="1" t="s">
        <v>20</v>
      </c>
      <c r="C20" s="13" t="s">
        <v>1</v>
      </c>
      <c r="G20" s="73">
        <v>42917</v>
      </c>
      <c r="I20" s="4" t="s">
        <v>240</v>
      </c>
    </row>
    <row r="21" spans="2:16" x14ac:dyDescent="0.2">
      <c r="B21" s="1"/>
      <c r="C21" s="13"/>
      <c r="G21" s="72">
        <v>43009</v>
      </c>
    </row>
    <row r="22" spans="2:16" x14ac:dyDescent="0.2">
      <c r="B22" s="1"/>
      <c r="C22" s="13"/>
      <c r="G22" s="72">
        <v>42736</v>
      </c>
    </row>
    <row r="23" spans="2:16" x14ac:dyDescent="0.2">
      <c r="B23" s="1"/>
    </row>
    <row r="24" spans="2:16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L24" s="86"/>
      <c r="M24" s="86"/>
      <c r="O24" s="86"/>
      <c r="P24" s="162">
        <v>2026</v>
      </c>
    </row>
    <row r="25" spans="2:16" ht="15" x14ac:dyDescent="0.25">
      <c r="H25" s="17"/>
      <c r="K25" s="163" t="s">
        <v>785</v>
      </c>
      <c r="L25" s="163" t="s">
        <v>786</v>
      </c>
      <c r="M25" s="163"/>
      <c r="N25" s="164"/>
      <c r="O25" s="165"/>
      <c r="P25" s="166" t="s">
        <v>787</v>
      </c>
    </row>
    <row r="26" spans="2:16" ht="15" x14ac:dyDescent="0.25">
      <c r="B26" s="49" t="s">
        <v>168</v>
      </c>
      <c r="D26" s="4" t="s">
        <v>225</v>
      </c>
      <c r="E26">
        <v>3</v>
      </c>
      <c r="F26" s="17">
        <v>2960</v>
      </c>
      <c r="G26" s="18"/>
      <c r="H26" s="17">
        <f>E26*F26</f>
        <v>8880</v>
      </c>
      <c r="K26" s="163"/>
      <c r="L26" s="163"/>
      <c r="M26" s="163"/>
      <c r="N26" s="164"/>
      <c r="O26" s="165"/>
      <c r="P26" s="166"/>
    </row>
    <row r="27" spans="2:16" ht="15" x14ac:dyDescent="0.25">
      <c r="B27" t="s">
        <v>1</v>
      </c>
      <c r="F27" s="17"/>
      <c r="G27" s="18"/>
      <c r="H27" s="17"/>
      <c r="K27" s="86">
        <v>1</v>
      </c>
      <c r="L27" s="86">
        <v>99</v>
      </c>
      <c r="M27" s="86"/>
      <c r="O27" s="167"/>
      <c r="P27" s="168">
        <v>2960</v>
      </c>
    </row>
    <row r="28" spans="2:16" ht="15" x14ac:dyDescent="0.25">
      <c r="F28" s="17"/>
      <c r="G28" s="18"/>
      <c r="H28" s="17"/>
      <c r="K28">
        <v>100</v>
      </c>
      <c r="L28">
        <v>149</v>
      </c>
      <c r="O28" s="167"/>
      <c r="P28" s="168">
        <v>3580</v>
      </c>
    </row>
    <row r="29" spans="2:16" ht="15" x14ac:dyDescent="0.25">
      <c r="F29" s="17"/>
      <c r="G29" s="18"/>
      <c r="H29" s="17"/>
      <c r="K29">
        <v>150</v>
      </c>
      <c r="L29">
        <v>199</v>
      </c>
      <c r="O29" s="167"/>
      <c r="P29" s="168">
        <v>4090</v>
      </c>
    </row>
    <row r="30" spans="2:16" ht="15" x14ac:dyDescent="0.25">
      <c r="F30" s="17"/>
      <c r="G30" s="18"/>
      <c r="H30" s="17"/>
      <c r="K30">
        <v>200</v>
      </c>
      <c r="L30">
        <v>249</v>
      </c>
      <c r="O30" s="167"/>
      <c r="P30" s="168">
        <v>4670</v>
      </c>
    </row>
    <row r="31" spans="2:16" ht="15" x14ac:dyDescent="0.25">
      <c r="B31" t="s">
        <v>1</v>
      </c>
      <c r="F31" s="17"/>
      <c r="G31" s="18"/>
      <c r="H31" s="17"/>
      <c r="K31">
        <v>250</v>
      </c>
      <c r="L31">
        <v>299</v>
      </c>
      <c r="M31" s="86"/>
      <c r="O31" s="167"/>
      <c r="P31" s="168">
        <v>5760</v>
      </c>
    </row>
    <row r="32" spans="2:16" ht="15" x14ac:dyDescent="0.25">
      <c r="B32" s="8" t="s">
        <v>21</v>
      </c>
      <c r="C32" t="s">
        <v>1</v>
      </c>
      <c r="F32" s="17"/>
      <c r="G32" s="18"/>
      <c r="H32" s="17"/>
      <c r="K32">
        <v>300</v>
      </c>
      <c r="L32">
        <v>349</v>
      </c>
      <c r="O32" s="167"/>
      <c r="P32" s="168">
        <v>6830</v>
      </c>
    </row>
    <row r="33" spans="2:16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K33">
        <v>350</v>
      </c>
      <c r="L33">
        <v>399</v>
      </c>
      <c r="O33" s="167"/>
      <c r="P33" s="168">
        <v>7920</v>
      </c>
    </row>
    <row r="34" spans="2:16" ht="15" x14ac:dyDescent="0.25">
      <c r="B34" s="11"/>
      <c r="C34" s="11"/>
      <c r="D34" s="11"/>
      <c r="E34" s="11"/>
      <c r="F34" s="22"/>
      <c r="G34" s="22"/>
      <c r="H34" s="17"/>
      <c r="K34">
        <v>400</v>
      </c>
      <c r="L34">
        <v>449</v>
      </c>
      <c r="O34" s="167"/>
      <c r="P34" s="168">
        <v>8980</v>
      </c>
    </row>
    <row r="35" spans="2:16" ht="15" x14ac:dyDescent="0.25">
      <c r="B35" s="11"/>
      <c r="C35" s="11"/>
      <c r="D35" s="11"/>
      <c r="E35" s="11"/>
      <c r="F35" s="22"/>
      <c r="G35" s="22"/>
      <c r="H35" s="17"/>
      <c r="K35">
        <v>450</v>
      </c>
      <c r="L35">
        <v>499</v>
      </c>
      <c r="O35" s="167"/>
      <c r="P35" s="168">
        <v>10080</v>
      </c>
    </row>
    <row r="36" spans="2:16" ht="15" x14ac:dyDescent="0.25">
      <c r="F36" s="17"/>
      <c r="G36" s="17"/>
      <c r="H36" s="17"/>
      <c r="K36">
        <v>500</v>
      </c>
      <c r="L36">
        <v>549</v>
      </c>
      <c r="O36" s="167"/>
      <c r="P36" s="168">
        <v>11150</v>
      </c>
    </row>
    <row r="37" spans="2:16" ht="15" x14ac:dyDescent="0.25">
      <c r="F37" s="17"/>
      <c r="G37" s="17"/>
      <c r="H37" s="17"/>
      <c r="K37">
        <v>550</v>
      </c>
      <c r="L37">
        <v>599</v>
      </c>
      <c r="O37" s="167"/>
      <c r="P37" s="168">
        <v>12200</v>
      </c>
    </row>
    <row r="38" spans="2:16" ht="15" x14ac:dyDescent="0.25">
      <c r="F38" s="17"/>
      <c r="G38" s="17"/>
      <c r="H38" s="17"/>
      <c r="K38">
        <v>600</v>
      </c>
      <c r="L38">
        <v>649</v>
      </c>
      <c r="O38" s="167"/>
      <c r="P38" s="168">
        <v>13260</v>
      </c>
    </row>
    <row r="39" spans="2:16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8880</v>
      </c>
      <c r="K39">
        <v>650</v>
      </c>
      <c r="L39">
        <v>699</v>
      </c>
      <c r="O39" s="167"/>
      <c r="P39" s="168">
        <v>14360</v>
      </c>
    </row>
    <row r="40" spans="2:16" ht="15" x14ac:dyDescent="0.25">
      <c r="K40">
        <v>700</v>
      </c>
      <c r="L40">
        <v>749</v>
      </c>
      <c r="O40" s="167"/>
      <c r="P40" s="168">
        <v>15430</v>
      </c>
    </row>
    <row r="41" spans="2:16" ht="15" x14ac:dyDescent="0.25">
      <c r="K41">
        <v>750</v>
      </c>
      <c r="L41">
        <v>799</v>
      </c>
      <c r="O41" s="167"/>
      <c r="P41" s="168">
        <v>16530</v>
      </c>
    </row>
    <row r="42" spans="2:16" ht="15" x14ac:dyDescent="0.25">
      <c r="B42" s="202" t="s">
        <v>216</v>
      </c>
      <c r="C42" s="203">
        <v>39</v>
      </c>
      <c r="K42">
        <v>800</v>
      </c>
      <c r="L42">
        <v>849</v>
      </c>
      <c r="O42" s="167"/>
      <c r="P42" s="168">
        <v>17590</v>
      </c>
    </row>
    <row r="43" spans="2:16" ht="15" x14ac:dyDescent="0.25">
      <c r="B43" s="203" t="s">
        <v>348</v>
      </c>
      <c r="C43" s="203">
        <v>67</v>
      </c>
      <c r="D43" s="203" t="s">
        <v>869</v>
      </c>
      <c r="E43" s="203"/>
      <c r="F43" s="203"/>
      <c r="G43" s="203"/>
      <c r="K43">
        <v>850</v>
      </c>
      <c r="L43">
        <v>899</v>
      </c>
      <c r="O43" s="167"/>
      <c r="P43" s="168">
        <v>18680</v>
      </c>
    </row>
    <row r="44" spans="2:16" ht="15" x14ac:dyDescent="0.25">
      <c r="B44" s="203" t="s">
        <v>389</v>
      </c>
      <c r="C44" s="203">
        <v>57</v>
      </c>
      <c r="K44">
        <v>900</v>
      </c>
      <c r="L44">
        <v>949</v>
      </c>
      <c r="O44" s="167"/>
      <c r="P44" s="168">
        <v>19750</v>
      </c>
    </row>
    <row r="45" spans="2:16" ht="15" x14ac:dyDescent="0.25">
      <c r="B45" s="108" t="s">
        <v>521</v>
      </c>
      <c r="C45">
        <v>11</v>
      </c>
      <c r="K45">
        <v>950</v>
      </c>
      <c r="L45">
        <v>999</v>
      </c>
      <c r="O45" s="167"/>
      <c r="P45" s="168">
        <v>20820</v>
      </c>
    </row>
    <row r="46" spans="2:16" ht="15" x14ac:dyDescent="0.25">
      <c r="B46" s="108" t="s">
        <v>314</v>
      </c>
      <c r="C46" s="203">
        <v>56</v>
      </c>
      <c r="K46">
        <v>1000</v>
      </c>
      <c r="L46">
        <v>1099</v>
      </c>
      <c r="O46" s="167"/>
      <c r="P46" s="168">
        <v>23000</v>
      </c>
    </row>
    <row r="47" spans="2:16" ht="15" x14ac:dyDescent="0.25">
      <c r="B47" s="203" t="s">
        <v>380</v>
      </c>
      <c r="C47" s="203">
        <v>48</v>
      </c>
      <c r="K47">
        <v>1100</v>
      </c>
      <c r="L47">
        <v>1199</v>
      </c>
      <c r="O47" s="167"/>
      <c r="P47" s="168">
        <v>24100</v>
      </c>
    </row>
    <row r="48" spans="2:16" ht="15" x14ac:dyDescent="0.25">
      <c r="B48" s="203" t="s">
        <v>391</v>
      </c>
      <c r="K48">
        <v>1200</v>
      </c>
      <c r="L48">
        <v>1299</v>
      </c>
      <c r="O48" s="167"/>
      <c r="P48" s="168">
        <v>26260</v>
      </c>
    </row>
    <row r="49" spans="2:16" ht="15" x14ac:dyDescent="0.25">
      <c r="B49" s="203" t="s">
        <v>538</v>
      </c>
      <c r="C49" s="203">
        <v>46</v>
      </c>
      <c r="K49">
        <v>1300</v>
      </c>
      <c r="L49">
        <v>1399</v>
      </c>
      <c r="O49" s="167"/>
      <c r="P49" s="168">
        <v>28400</v>
      </c>
    </row>
    <row r="50" spans="2:16" ht="15" x14ac:dyDescent="0.25">
      <c r="K50">
        <v>1400</v>
      </c>
      <c r="L50">
        <v>1499</v>
      </c>
      <c r="O50" s="167"/>
      <c r="P50" s="168">
        <v>30240</v>
      </c>
    </row>
    <row r="51" spans="2:16" ht="15" x14ac:dyDescent="0.25">
      <c r="K51">
        <v>1500</v>
      </c>
      <c r="L51">
        <v>1599</v>
      </c>
      <c r="O51" s="167"/>
      <c r="P51" s="168">
        <v>32710</v>
      </c>
    </row>
    <row r="52" spans="2:16" ht="15" x14ac:dyDescent="0.25">
      <c r="K52">
        <v>1600</v>
      </c>
      <c r="L52">
        <v>1699</v>
      </c>
      <c r="O52" s="167"/>
      <c r="P52" s="168">
        <v>34890</v>
      </c>
    </row>
    <row r="53" spans="2:16" ht="15" x14ac:dyDescent="0.25">
      <c r="K53">
        <v>1700</v>
      </c>
      <c r="L53">
        <v>1799</v>
      </c>
      <c r="O53" s="167"/>
      <c r="P53" s="168">
        <v>37060</v>
      </c>
    </row>
    <row r="54" spans="2:16" ht="15" x14ac:dyDescent="0.25">
      <c r="K54">
        <v>1800</v>
      </c>
      <c r="L54">
        <v>1899</v>
      </c>
      <c r="O54" s="167"/>
      <c r="P54" s="168">
        <v>39200</v>
      </c>
    </row>
    <row r="55" spans="2:16" ht="15" x14ac:dyDescent="0.25">
      <c r="K55">
        <v>1900</v>
      </c>
      <c r="L55">
        <v>1999</v>
      </c>
      <c r="O55" s="167"/>
      <c r="P55" s="168">
        <v>41380</v>
      </c>
    </row>
    <row r="56" spans="2:16" ht="15" x14ac:dyDescent="0.25">
      <c r="K56">
        <v>2000</v>
      </c>
      <c r="L56">
        <v>2099</v>
      </c>
      <c r="O56" s="167"/>
      <c r="P56" s="168">
        <v>43500</v>
      </c>
    </row>
    <row r="57" spans="2:16" ht="15" x14ac:dyDescent="0.25">
      <c r="K57">
        <v>2100</v>
      </c>
      <c r="L57">
        <v>2199</v>
      </c>
      <c r="O57" s="167"/>
      <c r="P57" s="168">
        <v>45650</v>
      </c>
    </row>
    <row r="58" spans="2:16" ht="15" x14ac:dyDescent="0.25">
      <c r="K58">
        <v>2200</v>
      </c>
      <c r="L58">
        <v>2299</v>
      </c>
      <c r="O58" s="167"/>
      <c r="P58" s="168">
        <v>47850</v>
      </c>
    </row>
    <row r="59" spans="2:16" ht="15" x14ac:dyDescent="0.25">
      <c r="K59">
        <v>2300</v>
      </c>
      <c r="L59">
        <v>2399</v>
      </c>
      <c r="O59" s="167"/>
      <c r="P59" s="168">
        <v>49980</v>
      </c>
    </row>
    <row r="60" spans="2:16" ht="15" x14ac:dyDescent="0.25">
      <c r="K60">
        <v>2400</v>
      </c>
      <c r="L60">
        <v>2499</v>
      </c>
      <c r="O60" s="167"/>
      <c r="P60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CEF8-703B-4428-B9AD-007AAD5C8444}">
  <sheetPr codeName="Ark25">
    <pageSetUpPr fitToPage="1"/>
  </sheetPr>
  <dimension ref="B2:Q55"/>
  <sheetViews>
    <sheetView topLeftCell="B29" workbookViewId="0">
      <selection activeCell="D53" sqref="D53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53" t="s">
        <v>219</v>
      </c>
      <c r="F4" s="1" t="s">
        <v>19</v>
      </c>
      <c r="G4" s="12" t="s">
        <v>1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>
        <v>32710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1</v>
      </c>
      <c r="G12" t="s">
        <v>220</v>
      </c>
    </row>
    <row r="13" spans="2:8" x14ac:dyDescent="0.2">
      <c r="B13" s="1" t="s">
        <v>8</v>
      </c>
      <c r="C13" s="4" t="s">
        <v>1</v>
      </c>
      <c r="F13" t="s">
        <v>1</v>
      </c>
    </row>
    <row r="14" spans="2:8" x14ac:dyDescent="0.2">
      <c r="B14" s="1" t="s">
        <v>9</v>
      </c>
      <c r="C14" s="42" t="s">
        <v>1</v>
      </c>
      <c r="F14" t="s">
        <v>1</v>
      </c>
      <c r="G14" s="20" t="s">
        <v>197</v>
      </c>
    </row>
    <row r="15" spans="2:8" x14ac:dyDescent="0.2">
      <c r="B15" s="1"/>
      <c r="F15" t="s">
        <v>1</v>
      </c>
    </row>
    <row r="16" spans="2:8" x14ac:dyDescent="0.2">
      <c r="B16" s="1" t="s">
        <v>16</v>
      </c>
      <c r="C16" s="11" t="s">
        <v>29</v>
      </c>
      <c r="G16" s="106" t="s">
        <v>221</v>
      </c>
    </row>
    <row r="17" spans="2:17" x14ac:dyDescent="0.2">
      <c r="B17" s="1"/>
      <c r="G17" s="54" t="s">
        <v>222</v>
      </c>
    </row>
    <row r="18" spans="2:17" x14ac:dyDescent="0.2">
      <c r="B18" s="1"/>
      <c r="C18" s="13"/>
      <c r="G18" s="72">
        <v>42887</v>
      </c>
    </row>
    <row r="19" spans="2:17" ht="15" x14ac:dyDescent="0.25">
      <c r="B19" s="1" t="s">
        <v>11</v>
      </c>
      <c r="C19" s="13" t="s">
        <v>39</v>
      </c>
      <c r="G19" s="73">
        <v>42979</v>
      </c>
      <c r="M19" s="86"/>
      <c r="N19" s="86"/>
      <c r="P19" s="86"/>
      <c r="Q19" s="162">
        <v>2026</v>
      </c>
    </row>
    <row r="20" spans="2:17" ht="15" x14ac:dyDescent="0.25">
      <c r="B20" s="1" t="s">
        <v>20</v>
      </c>
      <c r="C20" s="13" t="s">
        <v>1</v>
      </c>
      <c r="G20" s="72">
        <v>43070</v>
      </c>
      <c r="H20" t="s">
        <v>223</v>
      </c>
      <c r="I20" t="s">
        <v>1</v>
      </c>
      <c r="L20" s="163" t="s">
        <v>785</v>
      </c>
      <c r="M20" s="163" t="s">
        <v>786</v>
      </c>
      <c r="N20" s="163"/>
      <c r="O20" s="164"/>
      <c r="P20" s="165"/>
      <c r="Q20" s="166" t="s">
        <v>787</v>
      </c>
    </row>
    <row r="21" spans="2:17" ht="15" x14ac:dyDescent="0.25">
      <c r="B21" s="1"/>
      <c r="C21" s="13"/>
      <c r="G21" s="72">
        <v>42795</v>
      </c>
      <c r="H21" t="s">
        <v>224</v>
      </c>
      <c r="I21" s="49" t="s">
        <v>1</v>
      </c>
      <c r="L21" s="163"/>
      <c r="M21" s="163"/>
      <c r="N21" s="163"/>
      <c r="O21" s="164"/>
      <c r="P21" s="165"/>
      <c r="Q21" s="166"/>
    </row>
    <row r="22" spans="2:17" ht="15" x14ac:dyDescent="0.25">
      <c r="B22" s="1"/>
      <c r="C22" s="13"/>
      <c r="L22" s="86">
        <v>1</v>
      </c>
      <c r="M22" s="86">
        <v>99</v>
      </c>
      <c r="N22" s="86"/>
      <c r="P22" s="167"/>
      <c r="Q22" s="168">
        <v>2960</v>
      </c>
    </row>
    <row r="23" spans="2:17" ht="15" x14ac:dyDescent="0.25">
      <c r="B23" s="1"/>
      <c r="L23">
        <v>100</v>
      </c>
      <c r="M23">
        <v>149</v>
      </c>
      <c r="P23" s="167"/>
      <c r="Q23" s="168">
        <v>3580</v>
      </c>
    </row>
    <row r="24" spans="2:17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L24">
        <v>150</v>
      </c>
      <c r="M24">
        <v>199</v>
      </c>
      <c r="P24" s="167"/>
      <c r="Q24" s="168">
        <v>4090</v>
      </c>
    </row>
    <row r="25" spans="2:17" ht="15" x14ac:dyDescent="0.25">
      <c r="H25" s="17"/>
      <c r="L25">
        <v>200</v>
      </c>
      <c r="M25">
        <v>249</v>
      </c>
      <c r="P25" s="167"/>
      <c r="Q25" s="168">
        <v>4670</v>
      </c>
    </row>
    <row r="26" spans="2:17" ht="15" x14ac:dyDescent="0.25">
      <c r="B26" s="49" t="s">
        <v>168</v>
      </c>
      <c r="D26" t="s">
        <v>225</v>
      </c>
      <c r="E26">
        <v>3</v>
      </c>
      <c r="F26" s="17">
        <v>2960</v>
      </c>
      <c r="G26" s="18"/>
      <c r="H26" s="17">
        <f>E26*F26</f>
        <v>8880</v>
      </c>
      <c r="I26" s="44" t="s">
        <v>226</v>
      </c>
      <c r="L26">
        <v>250</v>
      </c>
      <c r="M26">
        <v>299</v>
      </c>
      <c r="N26" s="86"/>
      <c r="P26" s="167"/>
      <c r="Q26" s="168">
        <v>5760</v>
      </c>
    </row>
    <row r="27" spans="2:17" ht="15" x14ac:dyDescent="0.25">
      <c r="B27" t="s">
        <v>1</v>
      </c>
      <c r="F27" s="17"/>
      <c r="G27" s="18"/>
      <c r="H27" s="17"/>
      <c r="L27">
        <v>300</v>
      </c>
      <c r="M27">
        <v>349</v>
      </c>
      <c r="P27" s="167"/>
      <c r="Q27" s="168">
        <v>6830</v>
      </c>
    </row>
    <row r="28" spans="2:17" ht="15" x14ac:dyDescent="0.25">
      <c r="B28" s="108" t="s">
        <v>552</v>
      </c>
      <c r="F28" s="17"/>
      <c r="G28" s="18"/>
      <c r="H28" s="17"/>
      <c r="L28">
        <v>350</v>
      </c>
      <c r="M28">
        <v>399</v>
      </c>
      <c r="P28" s="167"/>
      <c r="Q28" s="168">
        <v>7920</v>
      </c>
    </row>
    <row r="29" spans="2:17" ht="15" x14ac:dyDescent="0.25">
      <c r="B29" t="s">
        <v>553</v>
      </c>
      <c r="F29" s="17"/>
      <c r="G29" s="18"/>
      <c r="H29" s="17"/>
      <c r="L29">
        <v>400</v>
      </c>
      <c r="M29">
        <v>449</v>
      </c>
      <c r="P29" s="167"/>
      <c r="Q29" s="168">
        <v>8980</v>
      </c>
    </row>
    <row r="30" spans="2:17" ht="15" x14ac:dyDescent="0.25">
      <c r="F30" s="17"/>
      <c r="G30" s="18"/>
      <c r="H30" s="17"/>
      <c r="L30">
        <v>450</v>
      </c>
      <c r="M30">
        <v>499</v>
      </c>
      <c r="P30" s="167"/>
      <c r="Q30" s="168">
        <v>10080</v>
      </c>
    </row>
    <row r="31" spans="2:17" ht="15" x14ac:dyDescent="0.25">
      <c r="B31" t="s">
        <v>1</v>
      </c>
      <c r="F31" s="17"/>
      <c r="G31" s="18"/>
      <c r="H31" s="17"/>
      <c r="L31">
        <v>500</v>
      </c>
      <c r="M31">
        <v>549</v>
      </c>
      <c r="P31" s="167"/>
      <c r="Q31" s="168">
        <v>11150</v>
      </c>
    </row>
    <row r="32" spans="2:17" ht="15" x14ac:dyDescent="0.25">
      <c r="B32" s="8" t="s">
        <v>21</v>
      </c>
      <c r="C32" t="s">
        <v>1</v>
      </c>
      <c r="F32" s="17"/>
      <c r="G32" s="18"/>
      <c r="H32" s="17"/>
      <c r="L32">
        <v>550</v>
      </c>
      <c r="M32">
        <v>599</v>
      </c>
      <c r="P32" s="167"/>
      <c r="Q32" s="168">
        <v>12200</v>
      </c>
    </row>
    <row r="33" spans="2:17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L33">
        <v>600</v>
      </c>
      <c r="M33">
        <v>649</v>
      </c>
      <c r="P33" s="167"/>
      <c r="Q33" s="168">
        <v>13260</v>
      </c>
    </row>
    <row r="34" spans="2:17" ht="15" x14ac:dyDescent="0.25">
      <c r="B34" s="11"/>
      <c r="C34" s="11"/>
      <c r="D34" s="11"/>
      <c r="E34" s="11"/>
      <c r="F34" s="22"/>
      <c r="G34" s="22"/>
      <c r="H34" s="17"/>
      <c r="L34">
        <v>650</v>
      </c>
      <c r="M34">
        <v>699</v>
      </c>
      <c r="P34" s="167"/>
      <c r="Q34" s="168">
        <v>14360</v>
      </c>
    </row>
    <row r="35" spans="2:17" ht="15" x14ac:dyDescent="0.25">
      <c r="B35" s="11"/>
      <c r="C35" s="11"/>
      <c r="D35" s="11"/>
      <c r="E35" s="11"/>
      <c r="F35" s="22"/>
      <c r="G35" s="22"/>
      <c r="H35" s="17"/>
      <c r="L35">
        <v>700</v>
      </c>
      <c r="M35">
        <v>749</v>
      </c>
      <c r="P35" s="167"/>
      <c r="Q35" s="168">
        <v>15430</v>
      </c>
    </row>
    <row r="36" spans="2:17" ht="15" x14ac:dyDescent="0.25">
      <c r="F36" s="17"/>
      <c r="G36" s="17"/>
      <c r="H36" s="17"/>
      <c r="L36">
        <v>750</v>
      </c>
      <c r="M36">
        <v>799</v>
      </c>
      <c r="P36" s="167"/>
      <c r="Q36" s="168">
        <v>16530</v>
      </c>
    </row>
    <row r="37" spans="2:17" ht="15" x14ac:dyDescent="0.25">
      <c r="F37" s="17"/>
      <c r="G37" s="17"/>
      <c r="H37" s="17"/>
      <c r="L37">
        <v>800</v>
      </c>
      <c r="M37">
        <v>849</v>
      </c>
      <c r="P37" s="167"/>
      <c r="Q37" s="168">
        <v>17590</v>
      </c>
    </row>
    <row r="38" spans="2:17" ht="15" x14ac:dyDescent="0.25">
      <c r="F38" s="17"/>
      <c r="G38" s="17"/>
      <c r="H38" s="17"/>
      <c r="L38">
        <v>850</v>
      </c>
      <c r="M38">
        <v>899</v>
      </c>
      <c r="P38" s="167"/>
      <c r="Q38" s="168">
        <v>18680</v>
      </c>
    </row>
    <row r="39" spans="2:17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8880</v>
      </c>
      <c r="L39">
        <v>900</v>
      </c>
      <c r="M39">
        <v>949</v>
      </c>
      <c r="P39" s="167"/>
      <c r="Q39" s="168">
        <v>19750</v>
      </c>
    </row>
    <row r="40" spans="2:17" ht="15" x14ac:dyDescent="0.25">
      <c r="L40">
        <v>950</v>
      </c>
      <c r="M40">
        <v>999</v>
      </c>
      <c r="P40" s="167"/>
      <c r="Q40" s="168">
        <v>20820</v>
      </c>
    </row>
    <row r="41" spans="2:17" ht="15" x14ac:dyDescent="0.25">
      <c r="B41" s="28" t="s">
        <v>25</v>
      </c>
      <c r="C41" t="s">
        <v>1</v>
      </c>
      <c r="L41">
        <v>1000</v>
      </c>
      <c r="M41">
        <v>1099</v>
      </c>
      <c r="P41" s="167"/>
      <c r="Q41" s="168">
        <v>23000</v>
      </c>
    </row>
    <row r="42" spans="2:17" ht="15" x14ac:dyDescent="0.25">
      <c r="B42" s="26" t="s">
        <v>27</v>
      </c>
      <c r="C42" s="26" t="s">
        <v>38</v>
      </c>
      <c r="L42">
        <v>1100</v>
      </c>
      <c r="M42">
        <v>1199</v>
      </c>
      <c r="P42" s="167"/>
      <c r="Q42" s="168">
        <v>24100</v>
      </c>
    </row>
    <row r="43" spans="2:17" ht="15" x14ac:dyDescent="0.25">
      <c r="B43" s="26" t="s">
        <v>26</v>
      </c>
      <c r="C43" s="26" t="s">
        <v>28</v>
      </c>
      <c r="L43">
        <v>1200</v>
      </c>
      <c r="M43">
        <v>1299</v>
      </c>
      <c r="P43" s="167"/>
      <c r="Q43" s="168">
        <v>26260</v>
      </c>
    </row>
    <row r="44" spans="2:17" ht="15" x14ac:dyDescent="0.25">
      <c r="L44">
        <v>1300</v>
      </c>
      <c r="M44">
        <v>1399</v>
      </c>
      <c r="P44" s="167"/>
      <c r="Q44" s="168">
        <v>28400</v>
      </c>
    </row>
    <row r="45" spans="2:17" ht="15" x14ac:dyDescent="0.25">
      <c r="B45" s="1">
        <v>2026</v>
      </c>
      <c r="L45">
        <v>1400</v>
      </c>
      <c r="M45">
        <v>1499</v>
      </c>
      <c r="P45" s="167"/>
      <c r="Q45" s="168">
        <v>30240</v>
      </c>
    </row>
    <row r="46" spans="2:17" ht="15" x14ac:dyDescent="0.25">
      <c r="B46" s="108" t="s">
        <v>216</v>
      </c>
      <c r="C46">
        <v>20</v>
      </c>
      <c r="L46">
        <v>1500</v>
      </c>
      <c r="M46">
        <v>1599</v>
      </c>
      <c r="P46" s="167"/>
      <c r="Q46" s="168">
        <v>32710</v>
      </c>
    </row>
    <row r="47" spans="2:17" ht="15" x14ac:dyDescent="0.25">
      <c r="B47" s="108" t="s">
        <v>348</v>
      </c>
      <c r="C47">
        <v>55</v>
      </c>
      <c r="L47">
        <v>1600</v>
      </c>
      <c r="M47">
        <v>1699</v>
      </c>
      <c r="P47" s="167"/>
      <c r="Q47" s="168">
        <v>34890</v>
      </c>
    </row>
    <row r="48" spans="2:17" ht="15" x14ac:dyDescent="0.25">
      <c r="B48" s="108" t="s">
        <v>409</v>
      </c>
      <c r="C48">
        <v>33</v>
      </c>
      <c r="L48">
        <v>1700</v>
      </c>
      <c r="M48">
        <v>1799</v>
      </c>
      <c r="P48" s="167"/>
      <c r="Q48" s="168">
        <v>37060</v>
      </c>
    </row>
    <row r="49" spans="2:17" ht="15" x14ac:dyDescent="0.25">
      <c r="B49" s="108" t="s">
        <v>521</v>
      </c>
      <c r="C49">
        <v>36</v>
      </c>
      <c r="L49">
        <v>1800</v>
      </c>
      <c r="M49">
        <v>1899</v>
      </c>
      <c r="P49" s="167"/>
      <c r="Q49" s="168">
        <v>39200</v>
      </c>
    </row>
    <row r="50" spans="2:17" ht="15" x14ac:dyDescent="0.25">
      <c r="B50" s="108" t="s">
        <v>77</v>
      </c>
      <c r="C50">
        <v>53</v>
      </c>
      <c r="L50">
        <v>1900</v>
      </c>
      <c r="M50">
        <v>1999</v>
      </c>
      <c r="P50" s="167"/>
      <c r="Q50" s="168">
        <v>41380</v>
      </c>
    </row>
    <row r="51" spans="2:17" ht="15" x14ac:dyDescent="0.25">
      <c r="B51" s="108" t="s">
        <v>31</v>
      </c>
      <c r="C51">
        <v>40</v>
      </c>
      <c r="L51">
        <v>2000</v>
      </c>
      <c r="M51">
        <v>2099</v>
      </c>
      <c r="P51" s="167"/>
      <c r="Q51" s="168">
        <v>43500</v>
      </c>
    </row>
    <row r="52" spans="2:17" ht="15" x14ac:dyDescent="0.25">
      <c r="B52" s="108" t="s">
        <v>32</v>
      </c>
      <c r="L52">
        <v>2100</v>
      </c>
      <c r="M52">
        <v>2199</v>
      </c>
      <c r="P52" s="167"/>
      <c r="Q52" s="168">
        <v>45650</v>
      </c>
    </row>
    <row r="53" spans="2:17" ht="15" x14ac:dyDescent="0.25">
      <c r="B53" s="108" t="s">
        <v>358</v>
      </c>
      <c r="C53">
        <v>0</v>
      </c>
      <c r="L53">
        <v>2200</v>
      </c>
      <c r="M53">
        <v>2299</v>
      </c>
      <c r="P53" s="167"/>
      <c r="Q53" s="168">
        <v>47850</v>
      </c>
    </row>
    <row r="54" spans="2:17" ht="15" x14ac:dyDescent="0.25">
      <c r="L54">
        <v>2300</v>
      </c>
      <c r="M54">
        <v>2399</v>
      </c>
      <c r="P54" s="167"/>
      <c r="Q54" s="168">
        <v>49980</v>
      </c>
    </row>
    <row r="55" spans="2:17" ht="15" x14ac:dyDescent="0.25">
      <c r="L55">
        <v>2400</v>
      </c>
      <c r="M55">
        <v>2499</v>
      </c>
      <c r="P55" s="167"/>
      <c r="Q55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D7D3-6E96-4BEB-AC6A-EA9CB2767E35}">
  <sheetPr codeName="Ark10"/>
  <dimension ref="A1:H39"/>
  <sheetViews>
    <sheetView workbookViewId="0">
      <selection activeCell="F27" sqref="F27"/>
    </sheetView>
  </sheetViews>
  <sheetFormatPr baseColWidth="10" defaultRowHeight="12.75" x14ac:dyDescent="0.2"/>
  <cols>
    <col min="1" max="1" width="4.85546875" customWidth="1"/>
  </cols>
  <sheetData>
    <row r="1" spans="1:8" x14ac:dyDescent="0.2">
      <c r="A1" s="4" t="s">
        <v>1</v>
      </c>
    </row>
    <row r="2" spans="1:8" ht="20.25" x14ac:dyDescent="0.3">
      <c r="B2" s="10" t="s">
        <v>22</v>
      </c>
    </row>
    <row r="4" spans="1:8" x14ac:dyDescent="0.2">
      <c r="B4" s="1" t="s">
        <v>0</v>
      </c>
      <c r="C4" s="1" t="s">
        <v>447</v>
      </c>
      <c r="F4" s="1" t="s">
        <v>19</v>
      </c>
      <c r="G4" s="12" t="s">
        <v>29</v>
      </c>
      <c r="H4" s="13"/>
    </row>
    <row r="5" spans="1:8" x14ac:dyDescent="0.2">
      <c r="B5" s="1"/>
      <c r="C5" s="4" t="s">
        <v>1</v>
      </c>
      <c r="F5" s="1"/>
      <c r="G5" s="12"/>
      <c r="H5" s="13"/>
    </row>
    <row r="6" spans="1:8" x14ac:dyDescent="0.2">
      <c r="B6" s="1" t="s">
        <v>448</v>
      </c>
      <c r="F6" s="1"/>
      <c r="G6" s="12"/>
      <c r="H6" s="13"/>
    </row>
    <row r="7" spans="1:8" x14ac:dyDescent="0.2">
      <c r="B7" s="1"/>
      <c r="C7" s="4"/>
      <c r="F7" s="1"/>
      <c r="G7" s="12"/>
      <c r="H7" s="13"/>
    </row>
    <row r="8" spans="1:8" x14ac:dyDescent="0.2">
      <c r="B8" s="1"/>
      <c r="C8" s="4"/>
      <c r="F8" s="1"/>
      <c r="G8" s="12"/>
      <c r="H8" s="13"/>
    </row>
    <row r="9" spans="1:8" x14ac:dyDescent="0.2">
      <c r="B9" s="1" t="s">
        <v>18</v>
      </c>
      <c r="C9" s="4">
        <v>33150</v>
      </c>
      <c r="F9" s="1"/>
      <c r="G9" s="1"/>
      <c r="H9" s="13"/>
    </row>
    <row r="10" spans="1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1:8" x14ac:dyDescent="0.2">
      <c r="B11" s="1"/>
    </row>
    <row r="12" spans="1:8" x14ac:dyDescent="0.2">
      <c r="B12" s="8" t="s">
        <v>7</v>
      </c>
      <c r="F12" s="4" t="s">
        <v>1</v>
      </c>
    </row>
    <row r="13" spans="1:8" x14ac:dyDescent="0.2">
      <c r="B13" s="1" t="s">
        <v>8</v>
      </c>
      <c r="C13" s="38" t="s">
        <v>1</v>
      </c>
      <c r="F13" t="s">
        <v>189</v>
      </c>
      <c r="G13" s="61">
        <v>45413</v>
      </c>
    </row>
    <row r="14" spans="1:8" x14ac:dyDescent="0.2">
      <c r="B14" s="1" t="s">
        <v>9</v>
      </c>
    </row>
    <row r="15" spans="1:8" x14ac:dyDescent="0.2">
      <c r="B15" s="1"/>
      <c r="C15" s="4" t="s">
        <v>446</v>
      </c>
      <c r="F15" s="4" t="s">
        <v>445</v>
      </c>
      <c r="H15" s="40" t="s">
        <v>788</v>
      </c>
    </row>
    <row r="16" spans="1:8" x14ac:dyDescent="0.2">
      <c r="F16" s="54" t="s">
        <v>195</v>
      </c>
      <c r="G16" s="48">
        <v>2500</v>
      </c>
      <c r="H16">
        <v>2580</v>
      </c>
    </row>
    <row r="17" spans="2:8" x14ac:dyDescent="0.2">
      <c r="B17" s="1" t="s">
        <v>16</v>
      </c>
      <c r="C17" s="11" t="s">
        <v>29</v>
      </c>
      <c r="F17" s="48" t="s">
        <v>318</v>
      </c>
      <c r="G17" s="48">
        <v>3000</v>
      </c>
      <c r="H17">
        <v>3100</v>
      </c>
    </row>
    <row r="18" spans="2:8" x14ac:dyDescent="0.2">
      <c r="B18" s="1"/>
      <c r="C18" s="13"/>
      <c r="F18" s="48" t="s">
        <v>51</v>
      </c>
      <c r="G18" s="48">
        <v>3500</v>
      </c>
      <c r="H18">
        <v>3600</v>
      </c>
    </row>
    <row r="19" spans="2:8" x14ac:dyDescent="0.2">
      <c r="B19" s="1" t="s">
        <v>11</v>
      </c>
      <c r="C19" s="13" t="s">
        <v>39</v>
      </c>
      <c r="F19" s="48" t="s">
        <v>52</v>
      </c>
      <c r="G19" s="48">
        <v>4000</v>
      </c>
      <c r="H19">
        <v>4150</v>
      </c>
    </row>
    <row r="20" spans="2:8" x14ac:dyDescent="0.2">
      <c r="B20" s="1" t="s">
        <v>20</v>
      </c>
      <c r="C20" s="13" t="s">
        <v>1</v>
      </c>
      <c r="F20" s="48" t="s">
        <v>53</v>
      </c>
      <c r="G20" s="48">
        <v>4500</v>
      </c>
      <c r="H20">
        <v>4640</v>
      </c>
    </row>
    <row r="21" spans="2:8" x14ac:dyDescent="0.2">
      <c r="B21" s="1"/>
      <c r="C21" s="13"/>
      <c r="F21" s="48" t="s">
        <v>789</v>
      </c>
      <c r="G21" s="48">
        <v>30</v>
      </c>
      <c r="H21">
        <v>32</v>
      </c>
    </row>
    <row r="22" spans="2:8" x14ac:dyDescent="0.2">
      <c r="B22" s="1"/>
      <c r="C22" s="13"/>
      <c r="F22" s="48" t="s">
        <v>533</v>
      </c>
    </row>
    <row r="23" spans="2:8" x14ac:dyDescent="0.2">
      <c r="B23" s="1"/>
    </row>
    <row r="24" spans="2:8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8" x14ac:dyDescent="0.2">
      <c r="H25" s="17"/>
    </row>
    <row r="26" spans="2:8" x14ac:dyDescent="0.2">
      <c r="B26" s="49" t="s">
        <v>168</v>
      </c>
      <c r="E26">
        <v>1</v>
      </c>
      <c r="F26" s="17">
        <v>2580</v>
      </c>
      <c r="G26" s="18"/>
      <c r="H26" s="17">
        <f>F26</f>
        <v>2580</v>
      </c>
    </row>
    <row r="27" spans="2:8" x14ac:dyDescent="0.2">
      <c r="B27" s="4" t="s">
        <v>1</v>
      </c>
      <c r="F27" s="17" t="s">
        <v>878</v>
      </c>
      <c r="G27" s="18"/>
      <c r="H27" s="17"/>
    </row>
    <row r="28" spans="2:8" x14ac:dyDescent="0.2">
      <c r="F28" s="17"/>
      <c r="G28" s="18"/>
      <c r="H28" s="17"/>
    </row>
    <row r="29" spans="2:8" x14ac:dyDescent="0.2">
      <c r="F29" s="17"/>
      <c r="G29" s="18"/>
      <c r="H29" s="17"/>
    </row>
    <row r="30" spans="2:8" x14ac:dyDescent="0.2">
      <c r="F30" s="17"/>
      <c r="G30" s="18"/>
      <c r="H30" s="17"/>
    </row>
    <row r="31" spans="2:8" x14ac:dyDescent="0.2">
      <c r="B31" t="s">
        <v>1</v>
      </c>
      <c r="F31" s="17"/>
      <c r="G31" s="18"/>
      <c r="H31" s="17"/>
    </row>
    <row r="32" spans="2:8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2580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88CE-D844-4601-AD3D-CFD9EB8419E6}">
  <sheetPr codeName="Ark11">
    <pageSetUpPr fitToPage="1"/>
  </sheetPr>
  <dimension ref="A2:J55"/>
  <sheetViews>
    <sheetView topLeftCell="A30" workbookViewId="0">
      <selection activeCell="E57" sqref="E57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510</v>
      </c>
      <c r="F4" s="1" t="s">
        <v>19</v>
      </c>
      <c r="G4" s="12" t="s">
        <v>29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 t="s">
        <v>511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 t="s">
        <v>1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s="4" t="s">
        <v>1</v>
      </c>
    </row>
    <row r="13" spans="2:8" x14ac:dyDescent="0.2">
      <c r="B13" s="1" t="s">
        <v>8</v>
      </c>
      <c r="C13" s="38" t="s">
        <v>1</v>
      </c>
      <c r="F13" t="s">
        <v>189</v>
      </c>
      <c r="G13" s="61">
        <v>45413</v>
      </c>
      <c r="H13">
        <v>2025</v>
      </c>
    </row>
    <row r="14" spans="2:8" x14ac:dyDescent="0.2">
      <c r="B14" s="1" t="s">
        <v>9</v>
      </c>
    </row>
    <row r="15" spans="2:8" x14ac:dyDescent="0.2">
      <c r="B15" s="1"/>
      <c r="C15" s="4" t="s">
        <v>446</v>
      </c>
      <c r="E15" s="4" t="s">
        <v>527</v>
      </c>
      <c r="G15" s="2"/>
      <c r="H15" s="40" t="s">
        <v>1</v>
      </c>
    </row>
    <row r="16" spans="2:8" x14ac:dyDescent="0.2">
      <c r="E16" s="54" t="s">
        <v>531</v>
      </c>
      <c r="G16" s="48"/>
      <c r="H16">
        <v>5140</v>
      </c>
    </row>
    <row r="17" spans="2:10" x14ac:dyDescent="0.2">
      <c r="B17" s="1" t="s">
        <v>16</v>
      </c>
      <c r="C17" s="11" t="s">
        <v>29</v>
      </c>
      <c r="E17" s="48" t="s">
        <v>528</v>
      </c>
      <c r="G17" s="48"/>
    </row>
    <row r="18" spans="2:10" x14ac:dyDescent="0.2">
      <c r="B18" s="1"/>
      <c r="C18" s="13"/>
      <c r="E18" t="s">
        <v>529</v>
      </c>
      <c r="F18" s="48"/>
      <c r="G18" s="48"/>
    </row>
    <row r="19" spans="2:10" x14ac:dyDescent="0.2">
      <c r="B19" s="1" t="s">
        <v>11</v>
      </c>
      <c r="C19" s="13" t="s">
        <v>39</v>
      </c>
      <c r="E19" t="s">
        <v>530</v>
      </c>
      <c r="F19" s="48"/>
      <c r="G19" s="48"/>
    </row>
    <row r="20" spans="2:10" x14ac:dyDescent="0.2">
      <c r="B20" s="1" t="s">
        <v>20</v>
      </c>
      <c r="C20" s="13" t="s">
        <v>1</v>
      </c>
      <c r="E20" s="108" t="s">
        <v>848</v>
      </c>
      <c r="F20" s="48"/>
      <c r="G20" s="48"/>
      <c r="H20">
        <v>36</v>
      </c>
    </row>
    <row r="21" spans="2:10" x14ac:dyDescent="0.2">
      <c r="B21" s="1"/>
      <c r="C21" s="13"/>
      <c r="E21" t="s">
        <v>532</v>
      </c>
      <c r="F21" s="48"/>
      <c r="G21" s="48"/>
    </row>
    <row r="22" spans="2:10" x14ac:dyDescent="0.2">
      <c r="B22" s="1"/>
      <c r="C22" s="13"/>
      <c r="E22" t="s">
        <v>521</v>
      </c>
      <c r="F22" s="48"/>
      <c r="G22" s="48"/>
    </row>
    <row r="23" spans="2:10" x14ac:dyDescent="0.2">
      <c r="B23" s="1"/>
      <c r="C23" s="13"/>
      <c r="E23" t="s">
        <v>32</v>
      </c>
      <c r="F23" s="48"/>
      <c r="G23" s="48"/>
    </row>
    <row r="24" spans="2:10" x14ac:dyDescent="0.2">
      <c r="B24" s="1"/>
      <c r="C24" s="13"/>
      <c r="E24" t="s">
        <v>360</v>
      </c>
      <c r="F24" s="48"/>
      <c r="G24" s="48"/>
      <c r="J24" s="4" t="s">
        <v>1</v>
      </c>
    </row>
    <row r="25" spans="2:10" x14ac:dyDescent="0.2">
      <c r="B25" s="1"/>
      <c r="C25" s="13"/>
      <c r="E25" t="s">
        <v>415</v>
      </c>
      <c r="F25" s="48"/>
      <c r="G25" s="48"/>
    </row>
    <row r="26" spans="2:10" x14ac:dyDescent="0.2">
      <c r="B26" s="1"/>
      <c r="C26" s="13"/>
      <c r="F26" s="48"/>
      <c r="G26" s="48"/>
    </row>
    <row r="27" spans="2:10" x14ac:dyDescent="0.2">
      <c r="B27" s="1"/>
      <c r="C27" s="13"/>
      <c r="F27" s="48"/>
      <c r="G27" s="48"/>
    </row>
    <row r="28" spans="2:10" x14ac:dyDescent="0.2">
      <c r="B28" s="1"/>
      <c r="C28" s="13"/>
      <c r="F28" s="48"/>
      <c r="G28" s="48"/>
    </row>
    <row r="29" spans="2:10" x14ac:dyDescent="0.2">
      <c r="B29" s="1"/>
    </row>
    <row r="30" spans="2:10" x14ac:dyDescent="0.2">
      <c r="B30" s="8" t="s">
        <v>15</v>
      </c>
      <c r="C30" s="2"/>
      <c r="E30" s="21" t="s">
        <v>12</v>
      </c>
      <c r="F30" s="21" t="s">
        <v>13</v>
      </c>
      <c r="G30" s="8"/>
      <c r="H30" s="16" t="s">
        <v>14</v>
      </c>
    </row>
    <row r="31" spans="2:10" x14ac:dyDescent="0.2">
      <c r="H31" s="17"/>
    </row>
    <row r="32" spans="2:10" x14ac:dyDescent="0.2">
      <c r="B32" s="49" t="s">
        <v>168</v>
      </c>
      <c r="D32" t="str">
        <f>Felles!C4</f>
        <v>August</v>
      </c>
      <c r="E32">
        <v>1</v>
      </c>
      <c r="F32" s="17">
        <v>5140</v>
      </c>
      <c r="G32" s="167"/>
      <c r="H32" s="17">
        <f>E32*F32</f>
        <v>5140</v>
      </c>
    </row>
    <row r="33" spans="1:8" x14ac:dyDescent="0.2">
      <c r="B33" s="4" t="s">
        <v>1</v>
      </c>
      <c r="F33" s="17"/>
      <c r="G33" s="18"/>
      <c r="H33" s="17"/>
    </row>
    <row r="34" spans="1:8" x14ac:dyDescent="0.2">
      <c r="F34" s="17"/>
      <c r="G34" s="18"/>
      <c r="H34" s="17"/>
    </row>
    <row r="35" spans="1:8" x14ac:dyDescent="0.2">
      <c r="F35" s="17"/>
      <c r="G35" s="18"/>
      <c r="H35" s="17"/>
    </row>
    <row r="36" spans="1:8" x14ac:dyDescent="0.2">
      <c r="F36" s="17"/>
      <c r="G36" s="18"/>
      <c r="H36" s="17"/>
    </row>
    <row r="37" spans="1:8" x14ac:dyDescent="0.2">
      <c r="B37" t="s">
        <v>1</v>
      </c>
      <c r="F37" s="17"/>
      <c r="G37" s="18"/>
      <c r="H37" s="17"/>
    </row>
    <row r="38" spans="1:8" x14ac:dyDescent="0.2">
      <c r="B38" s="8" t="s">
        <v>21</v>
      </c>
      <c r="C38" t="s">
        <v>1</v>
      </c>
      <c r="F38" s="17"/>
      <c r="G38" s="18"/>
      <c r="H38" s="17"/>
    </row>
    <row r="39" spans="1:8" x14ac:dyDescent="0.2">
      <c r="B39" s="11" t="s">
        <v>1</v>
      </c>
      <c r="C39" s="11"/>
      <c r="D39" s="11"/>
      <c r="E39" s="11" t="s">
        <v>1</v>
      </c>
      <c r="F39" s="22" t="s">
        <v>1</v>
      </c>
      <c r="G39" s="23"/>
      <c r="H39" s="17" t="s">
        <v>1</v>
      </c>
    </row>
    <row r="40" spans="1:8" x14ac:dyDescent="0.2">
      <c r="B40" s="11"/>
      <c r="C40" s="11"/>
      <c r="D40" s="11"/>
      <c r="E40" s="11"/>
      <c r="F40" s="22"/>
      <c r="G40" s="22"/>
      <c r="H40" s="17"/>
    </row>
    <row r="41" spans="1:8" x14ac:dyDescent="0.2">
      <c r="B41" s="11"/>
      <c r="C41" s="11"/>
      <c r="D41" s="11"/>
      <c r="E41" s="11"/>
      <c r="F41" s="22"/>
      <c r="G41" s="22"/>
      <c r="H41" s="17"/>
    </row>
    <row r="42" spans="1:8" x14ac:dyDescent="0.2">
      <c r="F42" s="17"/>
      <c r="G42" s="17"/>
      <c r="H42" s="17"/>
    </row>
    <row r="43" spans="1:8" x14ac:dyDescent="0.2">
      <c r="F43" s="17"/>
      <c r="G43" s="17"/>
      <c r="H43" s="17"/>
    </row>
    <row r="44" spans="1:8" x14ac:dyDescent="0.2">
      <c r="F44" s="17"/>
      <c r="G44" s="17"/>
      <c r="H44" s="17"/>
    </row>
    <row r="45" spans="1:8" ht="15.75" x14ac:dyDescent="0.25">
      <c r="B45" s="3" t="s">
        <v>23</v>
      </c>
      <c r="C45" s="3"/>
      <c r="D45" s="3"/>
      <c r="E45" s="3"/>
      <c r="F45" s="19"/>
      <c r="G45" s="19"/>
      <c r="H45" s="19">
        <f>SUM(H32:H44)</f>
        <v>5140</v>
      </c>
    </row>
    <row r="47" spans="1:8" x14ac:dyDescent="0.2">
      <c r="A47">
        <v>2026</v>
      </c>
      <c r="B47" s="108"/>
    </row>
    <row r="48" spans="1:8" x14ac:dyDescent="0.2">
      <c r="B48" s="191" t="s">
        <v>216</v>
      </c>
      <c r="C48">
        <v>45</v>
      </c>
    </row>
    <row r="49" spans="2:3" x14ac:dyDescent="0.2">
      <c r="B49" s="108" t="s">
        <v>348</v>
      </c>
      <c r="C49">
        <v>62</v>
      </c>
    </row>
    <row r="50" spans="2:3" x14ac:dyDescent="0.2">
      <c r="B50" s="108" t="s">
        <v>409</v>
      </c>
    </row>
    <row r="51" spans="2:3" x14ac:dyDescent="0.2">
      <c r="B51" s="108" t="s">
        <v>870</v>
      </c>
      <c r="C51">
        <v>39</v>
      </c>
    </row>
    <row r="52" spans="2:3" x14ac:dyDescent="0.2">
      <c r="B52" s="108" t="s">
        <v>77</v>
      </c>
      <c r="C52">
        <v>56</v>
      </c>
    </row>
    <row r="53" spans="2:3" x14ac:dyDescent="0.2">
      <c r="B53" s="108" t="s">
        <v>31</v>
      </c>
      <c r="C53">
        <v>75</v>
      </c>
    </row>
    <row r="54" spans="2:3" x14ac:dyDescent="0.2">
      <c r="B54" s="108" t="s">
        <v>32</v>
      </c>
      <c r="C54">
        <v>28</v>
      </c>
    </row>
    <row r="55" spans="2:3" x14ac:dyDescent="0.2">
      <c r="B55" s="108" t="s">
        <v>358</v>
      </c>
      <c r="C55">
        <v>66</v>
      </c>
    </row>
  </sheetData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FB63-2198-4FF5-9AD8-62C0BC38C7C0}">
  <sheetPr codeName="Ark12"/>
  <dimension ref="B2:J42"/>
  <sheetViews>
    <sheetView topLeftCell="A3" workbookViewId="0">
      <selection activeCell="F20" sqref="F20"/>
    </sheetView>
  </sheetViews>
  <sheetFormatPr baseColWidth="10" defaultRowHeight="12.75" x14ac:dyDescent="0.2"/>
  <cols>
    <col min="1" max="1" width="2" customWidth="1"/>
    <col min="6" max="6" width="15.42578125" customWidth="1"/>
  </cols>
  <sheetData>
    <row r="2" spans="2:10" ht="20.25" x14ac:dyDescent="0.3">
      <c r="B2" s="10" t="s">
        <v>22</v>
      </c>
    </row>
    <row r="4" spans="2:10" x14ac:dyDescent="0.2">
      <c r="B4" s="1" t="s">
        <v>0</v>
      </c>
      <c r="C4" s="1" t="s">
        <v>456</v>
      </c>
      <c r="F4" s="1" t="s">
        <v>19</v>
      </c>
      <c r="G4" s="12" t="s">
        <v>29</v>
      </c>
      <c r="H4" s="13"/>
    </row>
    <row r="5" spans="2:10" x14ac:dyDescent="0.2">
      <c r="B5" s="1"/>
      <c r="C5" s="4" t="s">
        <v>1</v>
      </c>
      <c r="F5" s="1"/>
      <c r="G5" s="12"/>
      <c r="H5" s="13"/>
    </row>
    <row r="6" spans="2:10" x14ac:dyDescent="0.2">
      <c r="B6" s="1" t="s">
        <v>457</v>
      </c>
      <c r="F6" s="1"/>
      <c r="G6" s="12"/>
      <c r="H6" s="13"/>
    </row>
    <row r="7" spans="2:10" x14ac:dyDescent="0.2">
      <c r="B7" s="1"/>
      <c r="C7" s="4"/>
      <c r="F7" s="1"/>
      <c r="G7" s="12"/>
      <c r="H7" s="13"/>
    </row>
    <row r="8" spans="2:10" x14ac:dyDescent="0.2">
      <c r="B8" s="1"/>
      <c r="C8" s="4"/>
      <c r="F8" s="1"/>
      <c r="G8" s="12"/>
      <c r="H8" s="13"/>
    </row>
    <row r="9" spans="2:10" x14ac:dyDescent="0.2">
      <c r="B9" s="1" t="s">
        <v>18</v>
      </c>
      <c r="C9" s="4">
        <v>35155</v>
      </c>
      <c r="F9" s="1"/>
      <c r="G9" s="1"/>
      <c r="H9" s="13"/>
    </row>
    <row r="10" spans="2:10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10" x14ac:dyDescent="0.2">
      <c r="B11" s="1"/>
    </row>
    <row r="12" spans="2:10" x14ac:dyDescent="0.2">
      <c r="B12" s="8" t="s">
        <v>7</v>
      </c>
      <c r="F12" s="4" t="s">
        <v>1</v>
      </c>
    </row>
    <row r="13" spans="2:10" x14ac:dyDescent="0.2">
      <c r="B13" s="1" t="s">
        <v>8</v>
      </c>
      <c r="C13" s="38" t="s">
        <v>458</v>
      </c>
      <c r="F13" t="s">
        <v>189</v>
      </c>
      <c r="G13" t="s">
        <v>459</v>
      </c>
    </row>
    <row r="14" spans="2:10" x14ac:dyDescent="0.2">
      <c r="B14" s="1" t="s">
        <v>9</v>
      </c>
    </row>
    <row r="15" spans="2:10" x14ac:dyDescent="0.2">
      <c r="B15" s="1"/>
      <c r="C15" s="4" t="s">
        <v>1</v>
      </c>
      <c r="F15" s="4" t="s">
        <v>1</v>
      </c>
    </row>
    <row r="16" spans="2:10" x14ac:dyDescent="0.2">
      <c r="F16" s="149" t="s">
        <v>790</v>
      </c>
      <c r="G16" s="107"/>
      <c r="H16" s="107"/>
      <c r="I16" s="107" t="s">
        <v>604</v>
      </c>
      <c r="J16" s="107"/>
    </row>
    <row r="17" spans="2:9" x14ac:dyDescent="0.2">
      <c r="B17" s="1" t="s">
        <v>16</v>
      </c>
      <c r="C17" s="11" t="s">
        <v>29</v>
      </c>
      <c r="F17" s="48" t="s">
        <v>1</v>
      </c>
      <c r="G17" s="48" t="s">
        <v>1</v>
      </c>
    </row>
    <row r="18" spans="2:9" x14ac:dyDescent="0.2">
      <c r="B18" s="1"/>
      <c r="C18" s="13"/>
      <c r="F18" s="48" t="s">
        <v>460</v>
      </c>
      <c r="G18" s="48" t="s">
        <v>1</v>
      </c>
      <c r="I18" s="40"/>
    </row>
    <row r="19" spans="2:9" x14ac:dyDescent="0.2">
      <c r="B19" s="1" t="s">
        <v>11</v>
      </c>
      <c r="C19" s="13" t="s">
        <v>39</v>
      </c>
      <c r="F19" s="93" t="s">
        <v>791</v>
      </c>
    </row>
    <row r="20" spans="2:9" x14ac:dyDescent="0.2">
      <c r="B20" s="1" t="s">
        <v>20</v>
      </c>
      <c r="C20" s="13" t="s">
        <v>1</v>
      </c>
      <c r="F20" s="93" t="s">
        <v>792</v>
      </c>
    </row>
    <row r="21" spans="2:9" x14ac:dyDescent="0.2">
      <c r="B21" s="1"/>
      <c r="C21" s="13"/>
      <c r="F21" s="93" t="s">
        <v>793</v>
      </c>
    </row>
    <row r="22" spans="2:9" x14ac:dyDescent="0.2">
      <c r="B22" s="1"/>
      <c r="C22" s="13"/>
    </row>
    <row r="23" spans="2:9" x14ac:dyDescent="0.2">
      <c r="B23" s="1"/>
    </row>
    <row r="24" spans="2:9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9" x14ac:dyDescent="0.2">
      <c r="H25" s="17"/>
    </row>
    <row r="26" spans="2:9" x14ac:dyDescent="0.2">
      <c r="B26" s="49" t="s">
        <v>461</v>
      </c>
      <c r="E26">
        <v>2</v>
      </c>
      <c r="F26" s="17">
        <v>380</v>
      </c>
      <c r="G26" s="18"/>
      <c r="H26" s="17">
        <f>E26*F26</f>
        <v>760</v>
      </c>
    </row>
    <row r="27" spans="2:9" x14ac:dyDescent="0.2">
      <c r="B27" s="4" t="s">
        <v>462</v>
      </c>
      <c r="E27">
        <v>0</v>
      </c>
      <c r="F27" s="17">
        <v>1490</v>
      </c>
      <c r="G27" s="18"/>
      <c r="H27" s="17">
        <f>E27*F27</f>
        <v>0</v>
      </c>
    </row>
    <row r="28" spans="2:9" x14ac:dyDescent="0.2">
      <c r="B28" t="s">
        <v>463</v>
      </c>
      <c r="E28">
        <v>1</v>
      </c>
      <c r="F28" s="17">
        <v>210</v>
      </c>
      <c r="G28" s="18"/>
      <c r="H28" s="17">
        <f>E28*F28</f>
        <v>210</v>
      </c>
    </row>
    <row r="29" spans="2:9" x14ac:dyDescent="0.2">
      <c r="F29" s="17"/>
      <c r="G29" s="18"/>
      <c r="H29" s="17"/>
    </row>
    <row r="30" spans="2:9" x14ac:dyDescent="0.2">
      <c r="F30" s="17"/>
      <c r="G30" s="18"/>
      <c r="H30" s="17"/>
    </row>
    <row r="31" spans="2:9" x14ac:dyDescent="0.2">
      <c r="B31" t="s">
        <v>1</v>
      </c>
      <c r="F31" s="17"/>
      <c r="G31" s="18"/>
      <c r="H31" s="17"/>
    </row>
    <row r="32" spans="2:9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970</v>
      </c>
    </row>
    <row r="41" spans="2:8" x14ac:dyDescent="0.2">
      <c r="B41" s="4" t="s">
        <v>474</v>
      </c>
      <c r="C41" s="4" t="s">
        <v>475</v>
      </c>
    </row>
    <row r="42" spans="2:8" x14ac:dyDescent="0.2">
      <c r="B42" s="4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C325-1384-4436-A03B-F72BE6EA01D1}">
  <sheetPr codeName="Ark54">
    <pageSetUpPr fitToPage="1"/>
  </sheetPr>
  <dimension ref="B2:O68"/>
  <sheetViews>
    <sheetView topLeftCell="A3" workbookViewId="0">
      <selection activeCell="O26" sqref="O26"/>
    </sheetView>
  </sheetViews>
  <sheetFormatPr baseColWidth="10" defaultRowHeight="12.75" x14ac:dyDescent="0.2"/>
  <cols>
    <col min="1" max="1" width="7.5703125" customWidth="1"/>
    <col min="2" max="2" width="21.285156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4" t="s">
        <v>381</v>
      </c>
      <c r="F4" s="1" t="s">
        <v>19</v>
      </c>
      <c r="G4" s="12" t="s">
        <v>1</v>
      </c>
      <c r="H4" s="13"/>
    </row>
    <row r="5" spans="2:8" x14ac:dyDescent="0.2">
      <c r="B5" s="1" t="s">
        <v>18</v>
      </c>
      <c r="C5" s="4">
        <v>32706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4" t="s">
        <v>229</v>
      </c>
      <c r="H9" s="40" t="s">
        <v>503</v>
      </c>
    </row>
    <row r="10" spans="2:8" x14ac:dyDescent="0.2">
      <c r="B10" s="1" t="s">
        <v>9</v>
      </c>
      <c r="C10" s="42" t="s">
        <v>228</v>
      </c>
      <c r="F10" s="74">
        <v>42767</v>
      </c>
    </row>
    <row r="11" spans="2:8" x14ac:dyDescent="0.2">
      <c r="B11" s="1"/>
      <c r="F11" s="49" t="s">
        <v>175</v>
      </c>
    </row>
    <row r="12" spans="2:8" x14ac:dyDescent="0.2">
      <c r="B12" s="1" t="s">
        <v>16</v>
      </c>
      <c r="C12" s="11" t="s">
        <v>29</v>
      </c>
      <c r="F12" s="53" t="s">
        <v>1</v>
      </c>
    </row>
    <row r="13" spans="2:8" x14ac:dyDescent="0.2">
      <c r="B13" s="1"/>
      <c r="F13" t="s">
        <v>227</v>
      </c>
    </row>
    <row r="14" spans="2:8" x14ac:dyDescent="0.2">
      <c r="B14" s="1"/>
      <c r="C14" s="13"/>
    </row>
    <row r="15" spans="2:8" x14ac:dyDescent="0.2">
      <c r="B15" s="1" t="s">
        <v>11</v>
      </c>
      <c r="C15" s="13" t="s">
        <v>39</v>
      </c>
    </row>
    <row r="16" spans="2:8" x14ac:dyDescent="0.2">
      <c r="B16" s="1" t="s">
        <v>20</v>
      </c>
      <c r="C16" s="13" t="s">
        <v>1</v>
      </c>
      <c r="F16" s="4"/>
    </row>
    <row r="17" spans="2:15" x14ac:dyDescent="0.2">
      <c r="B17" s="1"/>
      <c r="C17" s="13"/>
    </row>
    <row r="18" spans="2:15" x14ac:dyDescent="0.2">
      <c r="B18" s="1"/>
      <c r="C18" s="13"/>
    </row>
    <row r="19" spans="2:15" x14ac:dyDescent="0.2">
      <c r="B19" s="1"/>
    </row>
    <row r="20" spans="2:15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  <c r="J20" s="78" t="s">
        <v>794</v>
      </c>
    </row>
    <row r="21" spans="2:15" x14ac:dyDescent="0.2">
      <c r="H21" s="17"/>
    </row>
    <row r="22" spans="2:15" ht="15" x14ac:dyDescent="0.25">
      <c r="K22" s="86"/>
      <c r="L22" s="86"/>
      <c r="N22" s="86"/>
      <c r="O22" s="162">
        <v>2026</v>
      </c>
    </row>
    <row r="23" spans="2:15" ht="15" x14ac:dyDescent="0.25">
      <c r="B23" s="49" t="s">
        <v>163</v>
      </c>
      <c r="E23">
        <v>1</v>
      </c>
      <c r="F23" s="51">
        <v>3580</v>
      </c>
      <c r="G23" s="18"/>
      <c r="H23" s="17">
        <f>E23*F23</f>
        <v>3580</v>
      </c>
      <c r="J23" s="163" t="s">
        <v>785</v>
      </c>
      <c r="K23" s="163" t="s">
        <v>786</v>
      </c>
      <c r="L23" s="163"/>
      <c r="M23" s="164"/>
      <c r="N23" s="165"/>
      <c r="O23" s="166" t="s">
        <v>787</v>
      </c>
    </row>
    <row r="24" spans="2:15" ht="15" x14ac:dyDescent="0.25">
      <c r="B24" s="4" t="s">
        <v>289</v>
      </c>
      <c r="E24">
        <v>1</v>
      </c>
      <c r="F24" s="17">
        <v>199</v>
      </c>
      <c r="G24" s="18"/>
      <c r="H24" s="17">
        <f>E24*F24</f>
        <v>199</v>
      </c>
      <c r="J24" s="163"/>
      <c r="K24" s="163"/>
      <c r="L24" s="163"/>
      <c r="M24" s="164"/>
      <c r="N24" s="165"/>
      <c r="O24" s="166"/>
    </row>
    <row r="25" spans="2:15" ht="15" x14ac:dyDescent="0.25">
      <c r="B25" s="4" t="s">
        <v>385</v>
      </c>
      <c r="E25">
        <v>1</v>
      </c>
      <c r="F25" s="17">
        <v>1240</v>
      </c>
      <c r="G25" s="18"/>
      <c r="H25" s="17">
        <f>E25*F25</f>
        <v>1240</v>
      </c>
      <c r="J25" s="86">
        <v>1</v>
      </c>
      <c r="K25" s="86">
        <v>99</v>
      </c>
      <c r="L25" s="86"/>
      <c r="N25" s="167"/>
      <c r="O25" s="168">
        <v>2960</v>
      </c>
    </row>
    <row r="26" spans="2:15" ht="15" x14ac:dyDescent="0.25">
      <c r="F26" s="17"/>
      <c r="G26" s="18"/>
      <c r="H26" s="17"/>
      <c r="J26">
        <v>100</v>
      </c>
      <c r="K26">
        <v>149</v>
      </c>
      <c r="N26" s="167"/>
      <c r="O26" s="168">
        <v>3580</v>
      </c>
    </row>
    <row r="27" spans="2:15" ht="15" x14ac:dyDescent="0.25">
      <c r="B27" t="s">
        <v>1</v>
      </c>
      <c r="F27" s="17"/>
      <c r="G27" s="18"/>
      <c r="H27" s="17"/>
      <c r="J27">
        <v>150</v>
      </c>
      <c r="K27">
        <v>199</v>
      </c>
      <c r="N27" s="167"/>
      <c r="O27" s="168">
        <v>4090</v>
      </c>
    </row>
    <row r="28" spans="2:15" ht="15" x14ac:dyDescent="0.25">
      <c r="B28" s="8" t="s">
        <v>21</v>
      </c>
      <c r="C28" t="s">
        <v>1</v>
      </c>
      <c r="F28" s="17"/>
      <c r="G28" s="18"/>
      <c r="H28" s="17"/>
      <c r="J28">
        <v>200</v>
      </c>
      <c r="K28">
        <v>249</v>
      </c>
      <c r="N28" s="167"/>
      <c r="O28" s="168">
        <v>4670</v>
      </c>
    </row>
    <row r="29" spans="2:15" ht="15" x14ac:dyDescent="0.25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  <c r="J29">
        <v>250</v>
      </c>
      <c r="K29">
        <v>299</v>
      </c>
      <c r="L29" s="86"/>
      <c r="N29" s="167"/>
      <c r="O29" s="168">
        <v>5760</v>
      </c>
    </row>
    <row r="30" spans="2:15" ht="15" x14ac:dyDescent="0.25">
      <c r="B30" s="11"/>
      <c r="C30" s="11"/>
      <c r="D30" s="11"/>
      <c r="E30" s="11"/>
      <c r="F30" s="22"/>
      <c r="G30" s="22"/>
      <c r="H30" s="17"/>
      <c r="J30">
        <v>300</v>
      </c>
      <c r="K30">
        <v>349</v>
      </c>
      <c r="N30" s="167"/>
      <c r="O30" s="168">
        <v>6830</v>
      </c>
    </row>
    <row r="31" spans="2:15" ht="15" x14ac:dyDescent="0.25">
      <c r="B31" s="11"/>
      <c r="C31" s="11"/>
      <c r="D31" s="11"/>
      <c r="E31" s="11"/>
      <c r="F31" s="22"/>
      <c r="G31" s="22"/>
      <c r="H31" s="17"/>
      <c r="J31">
        <v>350</v>
      </c>
      <c r="K31">
        <v>399</v>
      </c>
      <c r="N31" s="167"/>
      <c r="O31" s="168">
        <v>7920</v>
      </c>
    </row>
    <row r="32" spans="2:15" ht="15" x14ac:dyDescent="0.25">
      <c r="B32" s="108" t="s">
        <v>557</v>
      </c>
      <c r="F32" s="17"/>
      <c r="G32" s="17"/>
      <c r="H32" s="17"/>
      <c r="J32">
        <v>400</v>
      </c>
      <c r="K32">
        <v>449</v>
      </c>
      <c r="N32" s="167"/>
      <c r="O32" s="168">
        <v>8980</v>
      </c>
    </row>
    <row r="33" spans="2:15" ht="15" x14ac:dyDescent="0.25">
      <c r="F33" s="17"/>
      <c r="G33" s="17"/>
      <c r="H33" s="17"/>
      <c r="J33">
        <v>450</v>
      </c>
      <c r="K33">
        <v>499</v>
      </c>
      <c r="N33" s="167"/>
      <c r="O33" s="168">
        <v>10080</v>
      </c>
    </row>
    <row r="34" spans="2:15" ht="15" x14ac:dyDescent="0.25">
      <c r="F34" s="17"/>
      <c r="G34" s="17"/>
      <c r="H34" s="17"/>
      <c r="J34">
        <v>500</v>
      </c>
      <c r="K34">
        <v>549</v>
      </c>
      <c r="N34" s="167"/>
      <c r="O34" s="168">
        <v>11150</v>
      </c>
    </row>
    <row r="35" spans="2:15" ht="15.75" x14ac:dyDescent="0.25">
      <c r="B35" s="3" t="s">
        <v>23</v>
      </c>
      <c r="C35" s="3"/>
      <c r="D35" s="3"/>
      <c r="E35" s="3"/>
      <c r="F35" s="19"/>
      <c r="G35" s="19"/>
      <c r="H35" s="19">
        <f>SUM(H23:H34)</f>
        <v>5019</v>
      </c>
      <c r="J35">
        <v>550</v>
      </c>
      <c r="K35">
        <v>599</v>
      </c>
      <c r="N35" s="167"/>
      <c r="O35" s="168">
        <v>12200</v>
      </c>
    </row>
    <row r="36" spans="2:15" ht="15" x14ac:dyDescent="0.25">
      <c r="J36">
        <v>600</v>
      </c>
      <c r="K36">
        <v>649</v>
      </c>
      <c r="N36" s="167"/>
      <c r="O36" s="168">
        <v>13260</v>
      </c>
    </row>
    <row r="37" spans="2:15" ht="15" x14ac:dyDescent="0.25">
      <c r="J37">
        <v>650</v>
      </c>
      <c r="K37">
        <v>699</v>
      </c>
      <c r="N37" s="167"/>
      <c r="O37" s="168">
        <v>14360</v>
      </c>
    </row>
    <row r="38" spans="2:15" ht="15" x14ac:dyDescent="0.25">
      <c r="C38" s="30"/>
      <c r="D38" s="30"/>
      <c r="E38" s="30"/>
      <c r="F38" s="30"/>
      <c r="G38" s="30"/>
      <c r="H38" s="30"/>
      <c r="J38">
        <v>700</v>
      </c>
      <c r="K38">
        <v>749</v>
      </c>
      <c r="N38" s="167"/>
      <c r="O38" s="168">
        <v>15430</v>
      </c>
    </row>
    <row r="39" spans="2:15" ht="15" x14ac:dyDescent="0.25">
      <c r="J39">
        <v>750</v>
      </c>
      <c r="K39">
        <v>799</v>
      </c>
      <c r="N39" s="167"/>
      <c r="O39" s="168">
        <v>16530</v>
      </c>
    </row>
    <row r="40" spans="2:15" ht="15" x14ac:dyDescent="0.25">
      <c r="J40">
        <v>800</v>
      </c>
      <c r="K40">
        <v>849</v>
      </c>
      <c r="N40" s="167"/>
      <c r="O40" s="168">
        <v>17590</v>
      </c>
    </row>
    <row r="41" spans="2:15" ht="15" x14ac:dyDescent="0.25">
      <c r="J41">
        <v>850</v>
      </c>
      <c r="K41">
        <v>899</v>
      </c>
      <c r="N41" s="167"/>
      <c r="O41" s="168">
        <v>18680</v>
      </c>
    </row>
    <row r="42" spans="2:15" ht="15" x14ac:dyDescent="0.25">
      <c r="J42">
        <v>900</v>
      </c>
      <c r="K42">
        <v>949</v>
      </c>
      <c r="N42" s="167"/>
      <c r="O42" s="168">
        <v>19750</v>
      </c>
    </row>
    <row r="43" spans="2:15" ht="15" x14ac:dyDescent="0.25">
      <c r="J43">
        <v>950</v>
      </c>
      <c r="K43">
        <v>999</v>
      </c>
      <c r="N43" s="167"/>
      <c r="O43" s="168">
        <v>20820</v>
      </c>
    </row>
    <row r="44" spans="2:15" ht="15" x14ac:dyDescent="0.25">
      <c r="C44" s="30"/>
      <c r="D44" s="30"/>
      <c r="E44" s="30"/>
      <c r="F44" s="30"/>
      <c r="G44" s="30"/>
      <c r="H44" s="30"/>
      <c r="J44">
        <v>1000</v>
      </c>
      <c r="K44">
        <v>1099</v>
      </c>
      <c r="N44" s="167"/>
      <c r="O44" s="168">
        <v>23000</v>
      </c>
    </row>
    <row r="45" spans="2:15" ht="15" x14ac:dyDescent="0.25">
      <c r="J45">
        <v>1100</v>
      </c>
      <c r="K45">
        <v>1199</v>
      </c>
      <c r="N45" s="167"/>
      <c r="O45" s="168">
        <v>24100</v>
      </c>
    </row>
    <row r="46" spans="2:15" ht="15" x14ac:dyDescent="0.25">
      <c r="J46">
        <v>1200</v>
      </c>
      <c r="K46">
        <v>1299</v>
      </c>
      <c r="N46" s="167"/>
      <c r="O46" s="168">
        <v>26260</v>
      </c>
    </row>
    <row r="47" spans="2:15" ht="15" x14ac:dyDescent="0.25">
      <c r="J47">
        <v>1300</v>
      </c>
      <c r="K47">
        <v>1399</v>
      </c>
      <c r="N47" s="167"/>
      <c r="O47" s="168">
        <v>28400</v>
      </c>
    </row>
    <row r="48" spans="2:15" ht="15" x14ac:dyDescent="0.25">
      <c r="C48" s="30"/>
      <c r="D48" s="30"/>
      <c r="E48" s="4"/>
      <c r="F48" s="4"/>
      <c r="G48" s="4"/>
      <c r="H48" s="4"/>
      <c r="J48">
        <v>1400</v>
      </c>
      <c r="K48">
        <v>1499</v>
      </c>
      <c r="N48" s="167"/>
      <c r="O48" s="168">
        <v>30240</v>
      </c>
    </row>
    <row r="49" spans="3:15" ht="15" x14ac:dyDescent="0.25">
      <c r="J49">
        <v>1500</v>
      </c>
      <c r="K49">
        <v>1599</v>
      </c>
      <c r="N49" s="167"/>
      <c r="O49" s="168">
        <v>32710</v>
      </c>
    </row>
    <row r="50" spans="3:15" ht="15" x14ac:dyDescent="0.25">
      <c r="J50">
        <v>1600</v>
      </c>
      <c r="K50">
        <v>1699</v>
      </c>
      <c r="N50" s="167"/>
      <c r="O50" s="168">
        <v>34890</v>
      </c>
    </row>
    <row r="51" spans="3:15" ht="15" x14ac:dyDescent="0.25">
      <c r="J51">
        <v>1700</v>
      </c>
      <c r="K51">
        <v>1799</v>
      </c>
      <c r="N51" s="167"/>
      <c r="O51" s="168">
        <v>37060</v>
      </c>
    </row>
    <row r="52" spans="3:15" ht="15" x14ac:dyDescent="0.25">
      <c r="J52">
        <v>1800</v>
      </c>
      <c r="K52">
        <v>1899</v>
      </c>
      <c r="N52" s="167"/>
      <c r="O52" s="168">
        <v>39200</v>
      </c>
    </row>
    <row r="53" spans="3:15" ht="15" x14ac:dyDescent="0.25">
      <c r="C53" s="30"/>
      <c r="D53" s="30"/>
      <c r="E53" s="4"/>
      <c r="F53" s="4"/>
      <c r="G53" s="4"/>
      <c r="H53" s="4"/>
      <c r="J53">
        <v>1900</v>
      </c>
      <c r="K53">
        <v>1999</v>
      </c>
      <c r="N53" s="167"/>
      <c r="O53" s="168">
        <v>41380</v>
      </c>
    </row>
    <row r="54" spans="3:15" ht="15" x14ac:dyDescent="0.25">
      <c r="J54">
        <v>2000</v>
      </c>
      <c r="K54">
        <v>2099</v>
      </c>
      <c r="N54" s="167"/>
      <c r="O54" s="168">
        <v>43500</v>
      </c>
    </row>
    <row r="55" spans="3:15" ht="15" x14ac:dyDescent="0.25">
      <c r="J55">
        <v>2100</v>
      </c>
      <c r="K55">
        <v>2199</v>
      </c>
      <c r="N55" s="167"/>
      <c r="O55" s="168">
        <v>45650</v>
      </c>
    </row>
    <row r="56" spans="3:15" ht="15" x14ac:dyDescent="0.25">
      <c r="J56">
        <v>2200</v>
      </c>
      <c r="K56">
        <v>2299</v>
      </c>
      <c r="N56" s="167"/>
      <c r="O56" s="168">
        <v>47850</v>
      </c>
    </row>
    <row r="57" spans="3:15" ht="15" x14ac:dyDescent="0.25">
      <c r="J57">
        <v>2300</v>
      </c>
      <c r="K57">
        <v>2399</v>
      </c>
      <c r="N57" s="167"/>
      <c r="O57" s="168">
        <v>49980</v>
      </c>
    </row>
    <row r="58" spans="3:15" ht="15" x14ac:dyDescent="0.25">
      <c r="C58" s="30"/>
      <c r="D58" s="30"/>
      <c r="E58" s="30"/>
      <c r="F58" s="30"/>
      <c r="G58" s="30"/>
      <c r="H58" s="30"/>
      <c r="J58">
        <v>2400</v>
      </c>
      <c r="K58">
        <v>2499</v>
      </c>
      <c r="N58" s="167"/>
      <c r="O58" s="168">
        <v>52160</v>
      </c>
    </row>
    <row r="63" spans="3:15" x14ac:dyDescent="0.2">
      <c r="C63" s="30"/>
      <c r="D63" s="30"/>
      <c r="E63" s="30"/>
      <c r="F63" s="30"/>
      <c r="G63" s="30"/>
      <c r="H63" s="30"/>
    </row>
    <row r="68" spans="3:8" x14ac:dyDescent="0.2">
      <c r="C68" s="30"/>
      <c r="D68" s="30"/>
      <c r="E68" s="30"/>
      <c r="F68" s="30"/>
      <c r="G68" s="30"/>
      <c r="H68" s="30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0FE6-7855-48C6-BDA7-8E7D4091E37E}">
  <dimension ref="A1:H41"/>
  <sheetViews>
    <sheetView topLeftCell="A9" workbookViewId="0">
      <selection activeCell="J35" sqref="J35"/>
    </sheetView>
  </sheetViews>
  <sheetFormatPr baseColWidth="10" defaultRowHeight="12.75" x14ac:dyDescent="0.2"/>
  <sheetData>
    <row r="1" spans="1:8" x14ac:dyDescent="0.2">
      <c r="A1" s="108" t="s">
        <v>644</v>
      </c>
    </row>
    <row r="3" spans="1:8" ht="20.25" x14ac:dyDescent="0.3">
      <c r="B3" s="10" t="s">
        <v>22</v>
      </c>
    </row>
    <row r="5" spans="1:8" x14ac:dyDescent="0.2">
      <c r="B5" s="1" t="s">
        <v>0</v>
      </c>
      <c r="C5" s="1" t="s">
        <v>611</v>
      </c>
      <c r="F5" s="1" t="s">
        <v>19</v>
      </c>
      <c r="G5" s="12" t="s">
        <v>29</v>
      </c>
      <c r="H5" s="13"/>
    </row>
    <row r="6" spans="1:8" x14ac:dyDescent="0.2">
      <c r="B6" s="1"/>
      <c r="C6" s="4" t="s">
        <v>1</v>
      </c>
      <c r="F6" s="1"/>
      <c r="G6" s="12"/>
      <c r="H6" s="13"/>
    </row>
    <row r="7" spans="1:8" x14ac:dyDescent="0.2">
      <c r="B7" s="1"/>
      <c r="C7" s="4" t="s">
        <v>1</v>
      </c>
      <c r="F7" s="1"/>
      <c r="G7" s="12"/>
      <c r="H7" s="13"/>
    </row>
    <row r="8" spans="1:8" x14ac:dyDescent="0.2">
      <c r="B8" s="1"/>
      <c r="C8" s="4"/>
      <c r="F8" s="1"/>
      <c r="G8" s="12"/>
      <c r="H8" s="13"/>
    </row>
    <row r="9" spans="1:8" x14ac:dyDescent="0.2">
      <c r="B9" s="1"/>
      <c r="C9" s="4"/>
      <c r="F9" s="1"/>
      <c r="G9" s="12"/>
      <c r="H9" s="13"/>
    </row>
    <row r="10" spans="1:8" x14ac:dyDescent="0.2">
      <c r="B10" s="1" t="s">
        <v>18</v>
      </c>
      <c r="C10" s="4">
        <v>33186</v>
      </c>
      <c r="F10" s="1"/>
      <c r="G10" s="1"/>
      <c r="H10" s="13"/>
    </row>
    <row r="11" spans="1:8" x14ac:dyDescent="0.2">
      <c r="B11" s="1"/>
      <c r="C11" s="14" t="s">
        <v>1</v>
      </c>
      <c r="F11" s="1" t="s">
        <v>10</v>
      </c>
      <c r="G11" s="15">
        <v>45962</v>
      </c>
      <c r="H11" s="13"/>
    </row>
    <row r="12" spans="1:8" x14ac:dyDescent="0.2">
      <c r="B12" s="1"/>
    </row>
    <row r="13" spans="1:8" x14ac:dyDescent="0.2">
      <c r="B13" s="8" t="s">
        <v>7</v>
      </c>
      <c r="F13" t="s">
        <v>1</v>
      </c>
      <c r="G13" s="40" t="s">
        <v>1</v>
      </c>
    </row>
    <row r="14" spans="1:8" x14ac:dyDescent="0.2">
      <c r="B14" s="1" t="s">
        <v>8</v>
      </c>
      <c r="C14" s="4" t="s">
        <v>202</v>
      </c>
      <c r="F14" t="s">
        <v>115</v>
      </c>
      <c r="G14" s="31">
        <v>45962</v>
      </c>
    </row>
    <row r="15" spans="1:8" x14ac:dyDescent="0.2">
      <c r="B15" s="1" t="s">
        <v>9</v>
      </c>
      <c r="C15" s="112" t="s">
        <v>591</v>
      </c>
      <c r="D15" s="113"/>
      <c r="G15" s="4" t="s">
        <v>1</v>
      </c>
    </row>
    <row r="16" spans="1:8" x14ac:dyDescent="0.2">
      <c r="B16" s="1"/>
      <c r="G16" s="20"/>
    </row>
    <row r="17" spans="2:8" x14ac:dyDescent="0.2">
      <c r="B17" s="1" t="s">
        <v>16</v>
      </c>
      <c r="C17" s="11" t="s">
        <v>29</v>
      </c>
    </row>
    <row r="18" spans="2:8" x14ac:dyDescent="0.2">
      <c r="B18" s="1"/>
      <c r="F18" s="108" t="s">
        <v>645</v>
      </c>
    </row>
    <row r="19" spans="2:8" x14ac:dyDescent="0.2">
      <c r="B19" s="1"/>
      <c r="C19" s="13"/>
    </row>
    <row r="20" spans="2:8" x14ac:dyDescent="0.2">
      <c r="B20" s="1" t="s">
        <v>11</v>
      </c>
      <c r="C20" s="13" t="s">
        <v>39</v>
      </c>
    </row>
    <row r="21" spans="2:8" x14ac:dyDescent="0.2">
      <c r="B21" s="1" t="s">
        <v>20</v>
      </c>
      <c r="C21" s="13" t="s">
        <v>1</v>
      </c>
    </row>
    <row r="22" spans="2:8" x14ac:dyDescent="0.2">
      <c r="B22" s="1"/>
      <c r="C22" s="13"/>
    </row>
    <row r="23" spans="2:8" x14ac:dyDescent="0.2">
      <c r="B23" s="1"/>
      <c r="C23" s="13"/>
    </row>
    <row r="24" spans="2:8" x14ac:dyDescent="0.2">
      <c r="B24" s="1"/>
    </row>
    <row r="25" spans="2:8" x14ac:dyDescent="0.2">
      <c r="B25" s="8" t="s">
        <v>15</v>
      </c>
      <c r="C25" s="2"/>
      <c r="E25" s="21" t="s">
        <v>12</v>
      </c>
      <c r="F25" s="21" t="s">
        <v>13</v>
      </c>
      <c r="G25" s="8"/>
      <c r="H25" s="16" t="s">
        <v>14</v>
      </c>
    </row>
    <row r="26" spans="2:8" x14ac:dyDescent="0.2">
      <c r="H26" s="17"/>
    </row>
    <row r="27" spans="2:8" x14ac:dyDescent="0.2">
      <c r="B27" s="150" t="s">
        <v>646</v>
      </c>
      <c r="D27">
        <f>Felles!C5</f>
        <v>0</v>
      </c>
      <c r="E27">
        <v>1</v>
      </c>
      <c r="F27" s="17">
        <v>195</v>
      </c>
      <c r="G27" s="18"/>
      <c r="H27" s="17">
        <f>E27*F27</f>
        <v>195</v>
      </c>
    </row>
    <row r="28" spans="2:8" x14ac:dyDescent="0.2">
      <c r="B28" s="150" t="s">
        <v>647</v>
      </c>
      <c r="E28">
        <v>10</v>
      </c>
      <c r="F28" s="17">
        <v>29</v>
      </c>
      <c r="G28" s="18"/>
      <c r="H28" s="17">
        <v>290</v>
      </c>
    </row>
    <row r="29" spans="2:8" x14ac:dyDescent="0.2">
      <c r="F29" s="17"/>
      <c r="G29" s="18"/>
      <c r="H29" s="17"/>
    </row>
    <row r="30" spans="2:8" x14ac:dyDescent="0.2">
      <c r="B30" s="108" t="s">
        <v>560</v>
      </c>
      <c r="F30" s="17"/>
      <c r="G30" s="18"/>
      <c r="H30" s="17"/>
    </row>
    <row r="31" spans="2:8" x14ac:dyDescent="0.2">
      <c r="F31" s="17"/>
      <c r="G31" s="18"/>
      <c r="H31" s="17"/>
    </row>
    <row r="32" spans="2:8" x14ac:dyDescent="0.2">
      <c r="F32" s="17"/>
      <c r="G32" s="18"/>
      <c r="H32" s="17"/>
    </row>
    <row r="33" spans="2:8" x14ac:dyDescent="0.2">
      <c r="B33" t="s">
        <v>1</v>
      </c>
      <c r="F33" s="17"/>
      <c r="G33" s="18"/>
      <c r="H33" s="17"/>
    </row>
    <row r="34" spans="2:8" x14ac:dyDescent="0.2">
      <c r="B34" s="8" t="s">
        <v>21</v>
      </c>
      <c r="C34" t="s">
        <v>1</v>
      </c>
      <c r="F34" s="17"/>
      <c r="G34" s="18"/>
      <c r="H34" s="17"/>
    </row>
    <row r="35" spans="2:8" x14ac:dyDescent="0.2">
      <c r="B35" s="11" t="s">
        <v>1</v>
      </c>
      <c r="C35" s="11"/>
      <c r="D35" s="11"/>
      <c r="E35" s="11" t="s">
        <v>1</v>
      </c>
      <c r="F35" s="22" t="s">
        <v>1</v>
      </c>
      <c r="G35" s="23"/>
      <c r="H35" s="17" t="s">
        <v>1</v>
      </c>
    </row>
    <row r="36" spans="2:8" x14ac:dyDescent="0.2">
      <c r="B36" s="11"/>
      <c r="C36" s="11"/>
      <c r="D36" s="11"/>
      <c r="E36" s="11"/>
      <c r="F36" s="22"/>
      <c r="G36" s="22"/>
      <c r="H36" s="17"/>
    </row>
    <row r="37" spans="2:8" x14ac:dyDescent="0.2">
      <c r="B37" s="11"/>
      <c r="C37" s="11"/>
      <c r="D37" s="11"/>
      <c r="E37" s="11"/>
      <c r="F37" s="22"/>
      <c r="G37" s="22"/>
      <c r="H37" s="17"/>
    </row>
    <row r="38" spans="2:8" x14ac:dyDescent="0.2">
      <c r="F38" s="17"/>
      <c r="G38" s="17"/>
      <c r="H38" s="17"/>
    </row>
    <row r="39" spans="2:8" x14ac:dyDescent="0.2">
      <c r="F39" s="17"/>
      <c r="G39" s="17"/>
      <c r="H39" s="17"/>
    </row>
    <row r="40" spans="2:8" x14ac:dyDescent="0.2">
      <c r="F40" s="17"/>
      <c r="G40" s="17"/>
      <c r="H40" s="17"/>
    </row>
    <row r="41" spans="2:8" ht="15.75" x14ac:dyDescent="0.25">
      <c r="B41" s="3" t="s">
        <v>23</v>
      </c>
      <c r="C41" s="3"/>
      <c r="D41" s="3"/>
      <c r="E41" s="3"/>
      <c r="F41" s="19"/>
      <c r="G41" s="19"/>
      <c r="H41" s="19">
        <f>SUM(H27:H40)</f>
        <v>485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A52E-E6D2-45E0-BA47-275206A97292}">
  <sheetPr codeName="Ark26">
    <pageSetUpPr fitToPage="1"/>
  </sheetPr>
  <dimension ref="B2:O102"/>
  <sheetViews>
    <sheetView topLeftCell="A18" workbookViewId="0">
      <selection activeCell="O35" sqref="O35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49" t="s">
        <v>274</v>
      </c>
      <c r="F4" s="1" t="s">
        <v>19</v>
      </c>
      <c r="G4" s="12" t="s">
        <v>29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>
        <v>32803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s="4" t="s">
        <v>275</v>
      </c>
    </row>
    <row r="13" spans="2:8" x14ac:dyDescent="0.2">
      <c r="B13" s="1" t="s">
        <v>8</v>
      </c>
      <c r="C13" s="4" t="s">
        <v>541</v>
      </c>
    </row>
    <row r="14" spans="2:8" x14ac:dyDescent="0.2">
      <c r="B14" s="1" t="s">
        <v>9</v>
      </c>
      <c r="C14" s="11"/>
    </row>
    <row r="15" spans="2:8" x14ac:dyDescent="0.2">
      <c r="B15" s="1"/>
      <c r="F15" s="4" t="s">
        <v>37</v>
      </c>
    </row>
    <row r="16" spans="2:8" x14ac:dyDescent="0.2">
      <c r="B16" s="1" t="s">
        <v>16</v>
      </c>
      <c r="C16" s="11" t="s">
        <v>29</v>
      </c>
      <c r="F16" s="4"/>
      <c r="G16" s="4"/>
    </row>
    <row r="17" spans="2:15" x14ac:dyDescent="0.2">
      <c r="B17" s="1"/>
      <c r="F17" s="49"/>
      <c r="G17" s="4"/>
    </row>
    <row r="18" spans="2:15" x14ac:dyDescent="0.2">
      <c r="B18" s="1"/>
      <c r="C18" s="13"/>
      <c r="F18" s="4"/>
      <c r="H18" s="4"/>
    </row>
    <row r="19" spans="2:15" x14ac:dyDescent="0.2">
      <c r="B19" s="1" t="s">
        <v>11</v>
      </c>
      <c r="C19" s="13" t="s">
        <v>39</v>
      </c>
    </row>
    <row r="20" spans="2:15" x14ac:dyDescent="0.2">
      <c r="B20" s="1" t="s">
        <v>20</v>
      </c>
      <c r="C20" s="13" t="s">
        <v>1</v>
      </c>
      <c r="F20" s="49"/>
    </row>
    <row r="21" spans="2:15" x14ac:dyDescent="0.2">
      <c r="B21" s="1"/>
      <c r="C21" s="13"/>
    </row>
    <row r="22" spans="2:15" x14ac:dyDescent="0.2">
      <c r="B22" s="1"/>
      <c r="C22" s="13"/>
    </row>
    <row r="23" spans="2:15" x14ac:dyDescent="0.2">
      <c r="B23" s="1"/>
    </row>
    <row r="24" spans="2:15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15" x14ac:dyDescent="0.2">
      <c r="H25" s="17"/>
      <c r="J25" s="78" t="s">
        <v>794</v>
      </c>
    </row>
    <row r="26" spans="2:15" x14ac:dyDescent="0.2">
      <c r="B26" s="49" t="s">
        <v>96</v>
      </c>
      <c r="E26">
        <v>1</v>
      </c>
      <c r="F26" s="51">
        <v>199</v>
      </c>
      <c r="G26" s="18"/>
      <c r="H26" s="17">
        <f>E26*F26</f>
        <v>199</v>
      </c>
    </row>
    <row r="27" spans="2:15" ht="15" x14ac:dyDescent="0.25">
      <c r="B27" t="s">
        <v>87</v>
      </c>
      <c r="E27">
        <v>1</v>
      </c>
      <c r="F27" s="17">
        <v>6830</v>
      </c>
      <c r="G27" s="18"/>
      <c r="H27" s="17">
        <v>6830</v>
      </c>
      <c r="K27" s="86"/>
      <c r="L27" s="86"/>
      <c r="N27" s="86"/>
      <c r="O27" s="162">
        <v>2026</v>
      </c>
    </row>
    <row r="28" spans="2:15" ht="15" x14ac:dyDescent="0.25">
      <c r="F28" s="17"/>
      <c r="G28" s="18"/>
      <c r="H28" s="17" t="s">
        <v>1</v>
      </c>
      <c r="J28" s="163" t="s">
        <v>785</v>
      </c>
      <c r="K28" s="163" t="s">
        <v>786</v>
      </c>
      <c r="L28" s="163"/>
      <c r="M28" s="164"/>
      <c r="N28" s="165"/>
      <c r="O28" s="166" t="s">
        <v>787</v>
      </c>
    </row>
    <row r="29" spans="2:15" ht="15" x14ac:dyDescent="0.25">
      <c r="F29" s="17"/>
      <c r="G29" s="18"/>
      <c r="H29" s="17"/>
      <c r="J29" s="163"/>
      <c r="K29" s="163"/>
      <c r="L29" s="163"/>
      <c r="M29" s="164"/>
      <c r="N29" s="165"/>
      <c r="O29" s="166"/>
    </row>
    <row r="30" spans="2:15" ht="15" x14ac:dyDescent="0.25">
      <c r="B30" t="s">
        <v>1</v>
      </c>
      <c r="F30" s="17"/>
      <c r="G30" s="18"/>
      <c r="H30" s="17"/>
      <c r="J30" s="86">
        <v>1</v>
      </c>
      <c r="K30" s="86">
        <v>99</v>
      </c>
      <c r="L30" s="86"/>
      <c r="N30" s="167"/>
      <c r="O30" s="168">
        <v>2960</v>
      </c>
    </row>
    <row r="31" spans="2:15" ht="15" x14ac:dyDescent="0.25">
      <c r="B31" s="8" t="s">
        <v>21</v>
      </c>
      <c r="C31" t="s">
        <v>1</v>
      </c>
      <c r="F31" s="17"/>
      <c r="G31" s="18"/>
      <c r="H31" s="17"/>
      <c r="J31">
        <v>100</v>
      </c>
      <c r="K31">
        <v>149</v>
      </c>
      <c r="N31" s="167"/>
      <c r="O31" s="168">
        <v>3580</v>
      </c>
    </row>
    <row r="32" spans="2:15" ht="15" x14ac:dyDescent="0.25">
      <c r="B32" s="11" t="s">
        <v>1</v>
      </c>
      <c r="C32" s="11"/>
      <c r="D32" s="11"/>
      <c r="E32" s="11" t="s">
        <v>1</v>
      </c>
      <c r="F32" s="22" t="s">
        <v>1</v>
      </c>
      <c r="G32" s="23"/>
      <c r="H32" s="17" t="s">
        <v>1</v>
      </c>
      <c r="J32">
        <v>150</v>
      </c>
      <c r="K32">
        <v>199</v>
      </c>
      <c r="N32" s="167"/>
      <c r="O32" s="168">
        <v>4090</v>
      </c>
    </row>
    <row r="33" spans="2:15" ht="15" x14ac:dyDescent="0.25">
      <c r="B33" s="11"/>
      <c r="C33" s="11"/>
      <c r="D33" s="11"/>
      <c r="E33" s="11"/>
      <c r="F33" s="22"/>
      <c r="G33" s="22"/>
      <c r="H33" s="17"/>
      <c r="J33">
        <v>200</v>
      </c>
      <c r="K33">
        <v>249</v>
      </c>
      <c r="N33" s="167"/>
      <c r="O33" s="168">
        <v>4670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J34">
        <v>250</v>
      </c>
      <c r="K34">
        <v>299</v>
      </c>
      <c r="L34" s="86"/>
      <c r="N34" s="167"/>
      <c r="O34" s="168">
        <v>5760</v>
      </c>
    </row>
    <row r="35" spans="2:15" ht="15" x14ac:dyDescent="0.25">
      <c r="F35" s="17"/>
      <c r="G35" s="17"/>
      <c r="H35" s="17"/>
      <c r="J35">
        <v>300</v>
      </c>
      <c r="K35">
        <v>349</v>
      </c>
      <c r="N35" s="167"/>
      <c r="O35" s="168">
        <v>6830</v>
      </c>
    </row>
    <row r="36" spans="2:15" ht="15" x14ac:dyDescent="0.25">
      <c r="F36" s="17"/>
      <c r="G36" s="17"/>
      <c r="H36" s="17"/>
      <c r="J36">
        <v>350</v>
      </c>
      <c r="K36">
        <v>399</v>
      </c>
      <c r="N36" s="167"/>
      <c r="O36" s="168">
        <v>7920</v>
      </c>
    </row>
    <row r="37" spans="2:15" ht="15" x14ac:dyDescent="0.25">
      <c r="F37" s="17"/>
      <c r="G37" s="17"/>
      <c r="H37" s="17"/>
      <c r="J37">
        <v>400</v>
      </c>
      <c r="K37">
        <v>449</v>
      </c>
      <c r="N37" s="167"/>
      <c r="O37" s="168">
        <v>8980</v>
      </c>
    </row>
    <row r="38" spans="2:15" ht="15.75" x14ac:dyDescent="0.25">
      <c r="B38" s="3" t="s">
        <v>23</v>
      </c>
      <c r="C38" s="3"/>
      <c r="D38" s="3"/>
      <c r="E38" s="3"/>
      <c r="F38" s="19"/>
      <c r="G38" s="19"/>
      <c r="H38" s="19">
        <f>SUM(H26:H37)</f>
        <v>7029</v>
      </c>
      <c r="J38">
        <v>450</v>
      </c>
      <c r="K38">
        <v>499</v>
      </c>
      <c r="N38" s="167"/>
      <c r="O38" s="168">
        <v>10080</v>
      </c>
    </row>
    <row r="39" spans="2:15" ht="15" x14ac:dyDescent="0.25">
      <c r="J39">
        <v>500</v>
      </c>
      <c r="K39">
        <v>549</v>
      </c>
      <c r="N39" s="167"/>
      <c r="O39" s="168">
        <v>11150</v>
      </c>
    </row>
    <row r="40" spans="2:15" ht="15" x14ac:dyDescent="0.25">
      <c r="J40">
        <v>550</v>
      </c>
      <c r="K40">
        <v>599</v>
      </c>
      <c r="N40" s="167"/>
      <c r="O40" s="168">
        <v>12200</v>
      </c>
    </row>
    <row r="41" spans="2:15" ht="15" x14ac:dyDescent="0.25">
      <c r="H41" s="158"/>
      <c r="J41">
        <v>600</v>
      </c>
      <c r="K41">
        <v>649</v>
      </c>
      <c r="N41" s="167"/>
      <c r="O41" s="168">
        <v>13260</v>
      </c>
    </row>
    <row r="42" spans="2:15" ht="15" x14ac:dyDescent="0.25">
      <c r="C42" s="30"/>
      <c r="D42" s="30"/>
      <c r="E42" s="30"/>
      <c r="F42" s="30"/>
      <c r="G42" s="30"/>
      <c r="H42" s="193"/>
      <c r="J42">
        <v>650</v>
      </c>
      <c r="K42">
        <v>699</v>
      </c>
      <c r="N42" s="167"/>
      <c r="O42" s="168">
        <v>14360</v>
      </c>
    </row>
    <row r="43" spans="2:15" ht="15" x14ac:dyDescent="0.25">
      <c r="B43" s="4"/>
      <c r="H43" s="158"/>
      <c r="J43">
        <v>700</v>
      </c>
      <c r="K43">
        <v>749</v>
      </c>
      <c r="N43" s="167"/>
      <c r="O43" s="168">
        <v>15430</v>
      </c>
    </row>
    <row r="44" spans="2:15" ht="15" x14ac:dyDescent="0.25">
      <c r="B44" s="4"/>
      <c r="H44" s="158"/>
      <c r="J44">
        <v>750</v>
      </c>
      <c r="K44">
        <v>799</v>
      </c>
      <c r="N44" s="167"/>
      <c r="O44" s="168">
        <v>16530</v>
      </c>
    </row>
    <row r="45" spans="2:15" ht="15" x14ac:dyDescent="0.25">
      <c r="B45" s="4"/>
      <c r="H45" s="158"/>
      <c r="J45">
        <v>800</v>
      </c>
      <c r="K45">
        <v>849</v>
      </c>
      <c r="N45" s="167"/>
      <c r="O45" s="168">
        <v>17590</v>
      </c>
    </row>
    <row r="46" spans="2:15" ht="15" x14ac:dyDescent="0.25">
      <c r="B46" s="4"/>
      <c r="H46" s="158"/>
      <c r="J46">
        <v>850</v>
      </c>
      <c r="K46">
        <v>899</v>
      </c>
      <c r="N46" s="167"/>
      <c r="O46" s="168">
        <v>18680</v>
      </c>
    </row>
    <row r="47" spans="2:15" ht="15" x14ac:dyDescent="0.25">
      <c r="H47" s="158"/>
      <c r="J47">
        <v>900</v>
      </c>
      <c r="K47">
        <v>949</v>
      </c>
      <c r="N47" s="167"/>
      <c r="O47" s="168">
        <v>19750</v>
      </c>
    </row>
    <row r="48" spans="2:15" ht="15" x14ac:dyDescent="0.25">
      <c r="H48" s="158"/>
      <c r="J48">
        <v>950</v>
      </c>
      <c r="K48">
        <v>999</v>
      </c>
      <c r="N48" s="167"/>
      <c r="O48" s="168">
        <v>20820</v>
      </c>
    </row>
    <row r="49" spans="2:15" ht="15" x14ac:dyDescent="0.25">
      <c r="C49" s="30"/>
      <c r="D49" s="30"/>
      <c r="E49" s="30"/>
      <c r="F49" s="30"/>
      <c r="G49" s="30"/>
      <c r="H49" s="193"/>
      <c r="J49">
        <v>1000</v>
      </c>
      <c r="K49">
        <v>1099</v>
      </c>
      <c r="N49" s="167"/>
      <c r="O49" s="168">
        <v>23000</v>
      </c>
    </row>
    <row r="50" spans="2:15" ht="15" x14ac:dyDescent="0.25">
      <c r="B50" s="4"/>
      <c r="J50">
        <v>1100</v>
      </c>
      <c r="K50">
        <v>1199</v>
      </c>
      <c r="N50" s="167"/>
      <c r="O50" s="168">
        <v>24100</v>
      </c>
    </row>
    <row r="51" spans="2:15" ht="15" x14ac:dyDescent="0.25">
      <c r="B51" s="4"/>
      <c r="J51">
        <v>1200</v>
      </c>
      <c r="K51">
        <v>1299</v>
      </c>
      <c r="N51" s="167"/>
      <c r="O51" s="168">
        <v>26260</v>
      </c>
    </row>
    <row r="52" spans="2:15" ht="15" x14ac:dyDescent="0.25">
      <c r="B52" s="4"/>
      <c r="J52">
        <v>1300</v>
      </c>
      <c r="K52">
        <v>1399</v>
      </c>
      <c r="N52" s="167"/>
      <c r="O52" s="168">
        <v>28400</v>
      </c>
    </row>
    <row r="53" spans="2:15" ht="15" x14ac:dyDescent="0.25">
      <c r="B53" s="4"/>
      <c r="J53">
        <v>1400</v>
      </c>
      <c r="K53">
        <v>1499</v>
      </c>
      <c r="N53" s="167"/>
      <c r="O53" s="168">
        <v>30240</v>
      </c>
    </row>
    <row r="54" spans="2:15" ht="15" x14ac:dyDescent="0.25">
      <c r="J54">
        <v>1500</v>
      </c>
      <c r="K54">
        <v>1599</v>
      </c>
      <c r="N54" s="167"/>
      <c r="O54" s="168">
        <v>32710</v>
      </c>
    </row>
    <row r="55" spans="2:15" ht="15" x14ac:dyDescent="0.25">
      <c r="J55">
        <v>1600</v>
      </c>
      <c r="K55">
        <v>1699</v>
      </c>
      <c r="N55" s="167"/>
      <c r="O55" s="168">
        <v>34890</v>
      </c>
    </row>
    <row r="56" spans="2:15" ht="15" x14ac:dyDescent="0.25">
      <c r="C56" s="30"/>
      <c r="D56" s="30"/>
      <c r="E56" s="4"/>
      <c r="F56" s="4"/>
      <c r="G56" s="4"/>
      <c r="H56" s="4"/>
      <c r="J56">
        <v>1700</v>
      </c>
      <c r="K56">
        <v>1799</v>
      </c>
      <c r="N56" s="167"/>
      <c r="O56" s="168">
        <v>37060</v>
      </c>
    </row>
    <row r="57" spans="2:15" ht="15" x14ac:dyDescent="0.25">
      <c r="B57" s="4"/>
      <c r="J57">
        <v>1800</v>
      </c>
      <c r="K57">
        <v>1899</v>
      </c>
      <c r="N57" s="167"/>
      <c r="O57" s="168">
        <v>39200</v>
      </c>
    </row>
    <row r="58" spans="2:15" ht="15" x14ac:dyDescent="0.25">
      <c r="B58" s="4"/>
      <c r="J58">
        <v>1900</v>
      </c>
      <c r="K58">
        <v>1999</v>
      </c>
      <c r="N58" s="167"/>
      <c r="O58" s="168">
        <v>41380</v>
      </c>
    </row>
    <row r="59" spans="2:15" ht="15" x14ac:dyDescent="0.25">
      <c r="B59" s="4"/>
      <c r="J59">
        <v>2000</v>
      </c>
      <c r="K59">
        <v>2099</v>
      </c>
      <c r="N59" s="167"/>
      <c r="O59" s="168">
        <v>43500</v>
      </c>
    </row>
    <row r="60" spans="2:15" ht="15" x14ac:dyDescent="0.25">
      <c r="B60" s="4"/>
      <c r="J60">
        <v>2100</v>
      </c>
      <c r="K60">
        <v>2199</v>
      </c>
      <c r="N60" s="167"/>
      <c r="O60" s="168">
        <v>45650</v>
      </c>
    </row>
    <row r="61" spans="2:15" ht="15" x14ac:dyDescent="0.25">
      <c r="J61">
        <v>2200</v>
      </c>
      <c r="K61">
        <v>2299</v>
      </c>
      <c r="N61" s="167"/>
      <c r="O61" s="168">
        <v>47850</v>
      </c>
    </row>
    <row r="62" spans="2:15" ht="15" x14ac:dyDescent="0.25">
      <c r="J62">
        <v>2300</v>
      </c>
      <c r="K62">
        <v>2399</v>
      </c>
      <c r="N62" s="167"/>
      <c r="O62" s="168">
        <v>49980</v>
      </c>
    </row>
    <row r="63" spans="2:15" ht="15" x14ac:dyDescent="0.25">
      <c r="C63" s="30"/>
      <c r="D63" s="30"/>
      <c r="E63" s="30"/>
      <c r="F63" s="30"/>
      <c r="G63" s="30"/>
      <c r="H63" s="30"/>
      <c r="J63">
        <v>2400</v>
      </c>
      <c r="K63">
        <v>2499</v>
      </c>
      <c r="N63" s="167"/>
      <c r="O63" s="168">
        <v>52160</v>
      </c>
    </row>
    <row r="64" spans="2:15" x14ac:dyDescent="0.2">
      <c r="B64" s="4"/>
    </row>
    <row r="65" spans="2:8" x14ac:dyDescent="0.2">
      <c r="B65" s="4"/>
    </row>
    <row r="66" spans="2:8" x14ac:dyDescent="0.2">
      <c r="B66" s="4"/>
    </row>
    <row r="67" spans="2:8" x14ac:dyDescent="0.2">
      <c r="B67" s="4"/>
    </row>
    <row r="70" spans="2:8" x14ac:dyDescent="0.2">
      <c r="C70" s="30"/>
      <c r="D70" s="4"/>
      <c r="E70" s="4"/>
      <c r="F70" s="4"/>
      <c r="G70" s="4"/>
      <c r="H70" s="4"/>
    </row>
    <row r="71" spans="2:8" x14ac:dyDescent="0.2">
      <c r="B71" s="4"/>
    </row>
    <row r="72" spans="2:8" x14ac:dyDescent="0.2">
      <c r="B72" s="4"/>
    </row>
    <row r="73" spans="2:8" x14ac:dyDescent="0.2">
      <c r="B73" s="4"/>
    </row>
    <row r="74" spans="2:8" x14ac:dyDescent="0.2">
      <c r="B74" s="4"/>
    </row>
    <row r="77" spans="2:8" x14ac:dyDescent="0.2">
      <c r="C77" s="30"/>
      <c r="D77" s="30"/>
      <c r="E77" s="4"/>
      <c r="F77" s="4"/>
      <c r="G77" s="4"/>
      <c r="H77" s="4"/>
    </row>
    <row r="78" spans="2:8" x14ac:dyDescent="0.2">
      <c r="B78" s="4"/>
    </row>
    <row r="79" spans="2:8" x14ac:dyDescent="0.2">
      <c r="B79" s="4"/>
    </row>
    <row r="80" spans="2:8" x14ac:dyDescent="0.2">
      <c r="B80" s="4"/>
    </row>
    <row r="81" spans="2:8" x14ac:dyDescent="0.2">
      <c r="B81" s="4"/>
    </row>
    <row r="84" spans="2:8" x14ac:dyDescent="0.2">
      <c r="C84" s="30"/>
      <c r="D84" s="30"/>
      <c r="E84" s="4"/>
      <c r="F84" s="4"/>
      <c r="G84" s="4"/>
      <c r="H84" s="4"/>
    </row>
    <row r="85" spans="2:8" x14ac:dyDescent="0.2">
      <c r="B85" s="4"/>
    </row>
    <row r="86" spans="2:8" x14ac:dyDescent="0.2">
      <c r="B86" s="4"/>
    </row>
    <row r="87" spans="2:8" x14ac:dyDescent="0.2">
      <c r="B87" s="4"/>
    </row>
    <row r="88" spans="2:8" x14ac:dyDescent="0.2">
      <c r="B88" s="4"/>
    </row>
    <row r="91" spans="2:8" x14ac:dyDescent="0.2">
      <c r="C91" s="30"/>
      <c r="D91" s="30"/>
      <c r="E91" s="30"/>
      <c r="F91" s="30"/>
      <c r="G91" s="30"/>
      <c r="H91" s="30"/>
    </row>
    <row r="92" spans="2:8" x14ac:dyDescent="0.2">
      <c r="B92" s="4"/>
    </row>
    <row r="93" spans="2:8" x14ac:dyDescent="0.2">
      <c r="B93" s="4"/>
    </row>
    <row r="94" spans="2:8" x14ac:dyDescent="0.2">
      <c r="B94" s="4"/>
    </row>
    <row r="95" spans="2:8" x14ac:dyDescent="0.2">
      <c r="B95" s="4"/>
    </row>
    <row r="98" spans="2:4" x14ac:dyDescent="0.2">
      <c r="D98" s="108"/>
    </row>
    <row r="99" spans="2:4" x14ac:dyDescent="0.2">
      <c r="B99" s="4"/>
    </row>
    <row r="100" spans="2:4" x14ac:dyDescent="0.2">
      <c r="B100" s="4"/>
    </row>
    <row r="101" spans="2:4" x14ac:dyDescent="0.2">
      <c r="B101" s="4"/>
    </row>
    <row r="102" spans="2:4" x14ac:dyDescent="0.2">
      <c r="B102" s="4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D817-E00E-4128-9DCA-7340D47275B5}">
  <sheetPr codeName="Ark18">
    <pageSetUpPr fitToPage="1"/>
  </sheetPr>
  <dimension ref="B2:H48"/>
  <sheetViews>
    <sheetView topLeftCell="A6" workbookViewId="0">
      <selection activeCell="E28" sqref="E28"/>
    </sheetView>
  </sheetViews>
  <sheetFormatPr baseColWidth="10" defaultRowHeight="12.75" x14ac:dyDescent="0.2"/>
  <cols>
    <col min="1" max="1" width="8.425781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464</v>
      </c>
      <c r="F4" s="1" t="s">
        <v>19</v>
      </c>
      <c r="G4" s="12" t="s">
        <v>29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 t="s">
        <v>465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>
        <v>33156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s="4" t="s">
        <v>1</v>
      </c>
    </row>
    <row r="13" spans="2:8" x14ac:dyDescent="0.2">
      <c r="B13" s="1" t="s">
        <v>8</v>
      </c>
      <c r="C13" s="38" t="s">
        <v>471</v>
      </c>
      <c r="F13" t="s">
        <v>189</v>
      </c>
      <c r="G13" t="s">
        <v>459</v>
      </c>
    </row>
    <row r="14" spans="2:8" x14ac:dyDescent="0.2">
      <c r="B14" s="1" t="s">
        <v>9</v>
      </c>
      <c r="H14" s="40" t="s">
        <v>1</v>
      </c>
    </row>
    <row r="15" spans="2:8" x14ac:dyDescent="0.2">
      <c r="B15" s="1"/>
      <c r="C15" s="4" t="s">
        <v>1</v>
      </c>
      <c r="F15" t="s">
        <v>466</v>
      </c>
      <c r="G15">
        <v>2025</v>
      </c>
    </row>
    <row r="16" spans="2:8" x14ac:dyDescent="0.2">
      <c r="F16" t="s">
        <v>467</v>
      </c>
      <c r="G16">
        <v>840</v>
      </c>
    </row>
    <row r="17" spans="2:8" x14ac:dyDescent="0.2">
      <c r="B17" s="1" t="s">
        <v>16</v>
      </c>
      <c r="C17" s="11" t="s">
        <v>29</v>
      </c>
      <c r="F17" t="s">
        <v>468</v>
      </c>
      <c r="G17">
        <v>42</v>
      </c>
    </row>
    <row r="18" spans="2:8" x14ac:dyDescent="0.2">
      <c r="B18" s="1"/>
      <c r="C18" s="13"/>
    </row>
    <row r="19" spans="2:8" x14ac:dyDescent="0.2">
      <c r="B19" s="1" t="s">
        <v>11</v>
      </c>
      <c r="C19" s="13" t="s">
        <v>39</v>
      </c>
    </row>
    <row r="20" spans="2:8" x14ac:dyDescent="0.2">
      <c r="B20" s="1" t="s">
        <v>20</v>
      </c>
      <c r="C20" s="13" t="s">
        <v>1</v>
      </c>
    </row>
    <row r="21" spans="2:8" x14ac:dyDescent="0.2">
      <c r="B21" s="1"/>
      <c r="C21" s="13"/>
    </row>
    <row r="22" spans="2:8" x14ac:dyDescent="0.2">
      <c r="B22" s="1"/>
      <c r="C22" s="13"/>
    </row>
    <row r="23" spans="2:8" x14ac:dyDescent="0.2">
      <c r="B23" s="1"/>
    </row>
    <row r="24" spans="2:8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8" x14ac:dyDescent="0.2">
      <c r="H25" s="17"/>
    </row>
    <row r="26" spans="2:8" x14ac:dyDescent="0.2">
      <c r="B26" s="49" t="s">
        <v>469</v>
      </c>
      <c r="D26" t="str">
        <f>Felles!C4</f>
        <v>August</v>
      </c>
      <c r="E26">
        <v>1</v>
      </c>
      <c r="F26" s="17">
        <v>840</v>
      </c>
      <c r="G26" s="18"/>
      <c r="H26" s="17">
        <f>E26*F26</f>
        <v>840</v>
      </c>
    </row>
    <row r="27" spans="2:8" x14ac:dyDescent="0.2">
      <c r="B27" s="4" t="s">
        <v>470</v>
      </c>
      <c r="E27">
        <v>0</v>
      </c>
      <c r="F27" s="17">
        <v>42</v>
      </c>
      <c r="G27" s="18"/>
      <c r="H27" s="17">
        <f>E27*F27</f>
        <v>0</v>
      </c>
    </row>
    <row r="28" spans="2:8" x14ac:dyDescent="0.2">
      <c r="B28" t="s">
        <v>1</v>
      </c>
      <c r="E28" t="s">
        <v>1</v>
      </c>
      <c r="F28" s="17" t="s">
        <v>1</v>
      </c>
      <c r="G28" s="18"/>
      <c r="H28" s="17" t="s">
        <v>1</v>
      </c>
    </row>
    <row r="29" spans="2:8" x14ac:dyDescent="0.2">
      <c r="F29" s="17"/>
      <c r="G29" s="18"/>
      <c r="H29" s="17"/>
    </row>
    <row r="30" spans="2:8" x14ac:dyDescent="0.2">
      <c r="F30" s="17"/>
      <c r="G30" s="18"/>
      <c r="H30" s="17"/>
    </row>
    <row r="31" spans="2:8" x14ac:dyDescent="0.2">
      <c r="B31" t="s">
        <v>1</v>
      </c>
      <c r="F31" s="17"/>
      <c r="G31" s="18"/>
      <c r="H31" s="17"/>
    </row>
    <row r="32" spans="2:8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840</v>
      </c>
    </row>
    <row r="41" spans="2:8" x14ac:dyDescent="0.2">
      <c r="B41" s="4" t="s">
        <v>474</v>
      </c>
    </row>
    <row r="42" spans="2:8" x14ac:dyDescent="0.2">
      <c r="B42">
        <v>2026</v>
      </c>
      <c r="C42" s="13"/>
    </row>
    <row r="43" spans="2:8" x14ac:dyDescent="0.2">
      <c r="B43" s="108" t="s">
        <v>850</v>
      </c>
      <c r="C43" s="13">
        <v>32</v>
      </c>
      <c r="D43" s="4"/>
      <c r="F43" s="4"/>
      <c r="G43" s="108"/>
    </row>
    <row r="44" spans="2:8" x14ac:dyDescent="0.2">
      <c r="B44" s="4"/>
      <c r="C44" s="13"/>
      <c r="D44" s="4"/>
      <c r="F44" s="4"/>
    </row>
    <row r="45" spans="2:8" x14ac:dyDescent="0.2">
      <c r="B45" s="4"/>
      <c r="C45" s="13"/>
      <c r="D45" s="4"/>
      <c r="F45" s="4"/>
    </row>
    <row r="46" spans="2:8" x14ac:dyDescent="0.2">
      <c r="B46" s="4"/>
      <c r="C46" s="13"/>
      <c r="D46" s="4"/>
      <c r="F46" s="4"/>
    </row>
    <row r="47" spans="2:8" x14ac:dyDescent="0.2">
      <c r="D47" s="4"/>
      <c r="F47" s="4"/>
    </row>
    <row r="48" spans="2:8" x14ac:dyDescent="0.2">
      <c r="D48" s="4"/>
      <c r="F48" s="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D8F4-2363-43C6-8C18-731D890831B9}">
  <sheetPr codeName="Ark28">
    <tabColor rgb="FFFF0000"/>
    <pageSetUpPr fitToPage="1"/>
  </sheetPr>
  <dimension ref="B2:H39"/>
  <sheetViews>
    <sheetView workbookViewId="0">
      <selection activeCell="J39" sqref="J39"/>
    </sheetView>
  </sheetViews>
  <sheetFormatPr baseColWidth="10" defaultRowHeight="12.75" x14ac:dyDescent="0.2"/>
  <cols>
    <col min="1" max="1" width="5.85546875" customWidth="1"/>
    <col min="2" max="2" width="19.7109375" customWidth="1"/>
    <col min="6" max="6" width="18.285156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49" t="s">
        <v>139</v>
      </c>
      <c r="F4" s="1" t="s">
        <v>19</v>
      </c>
      <c r="G4" s="12" t="s">
        <v>29</v>
      </c>
      <c r="H4" s="13" t="s">
        <v>1</v>
      </c>
    </row>
    <row r="5" spans="2:8" x14ac:dyDescent="0.2">
      <c r="B5" s="1"/>
      <c r="C5" s="4" t="s">
        <v>140</v>
      </c>
      <c r="F5" s="1"/>
      <c r="G5" s="12"/>
      <c r="H5" s="13"/>
    </row>
    <row r="6" spans="2:8" x14ac:dyDescent="0.2">
      <c r="B6" s="1"/>
      <c r="C6" s="4" t="s">
        <v>141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 t="s">
        <v>1</v>
      </c>
      <c r="F9" s="1"/>
      <c r="G9" s="1"/>
      <c r="H9" s="13"/>
    </row>
    <row r="10" spans="2:8" ht="13.5" customHeight="1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142</v>
      </c>
    </row>
    <row r="13" spans="2:8" x14ac:dyDescent="0.2">
      <c r="B13" s="1" t="s">
        <v>8</v>
      </c>
      <c r="C13" s="4" t="s">
        <v>1</v>
      </c>
      <c r="F13" s="4" t="s">
        <v>534</v>
      </c>
    </row>
    <row r="14" spans="2:8" x14ac:dyDescent="0.2">
      <c r="B14" s="1" t="s">
        <v>9</v>
      </c>
      <c r="C14" s="11" t="s">
        <v>1</v>
      </c>
    </row>
    <row r="15" spans="2:8" x14ac:dyDescent="0.2">
      <c r="B15" s="1"/>
      <c r="F15">
        <v>2019</v>
      </c>
      <c r="G15" s="4" t="s">
        <v>161</v>
      </c>
    </row>
    <row r="16" spans="2:8" x14ac:dyDescent="0.2">
      <c r="B16" s="1" t="s">
        <v>16</v>
      </c>
      <c r="C16" s="11" t="s">
        <v>29</v>
      </c>
      <c r="F16">
        <v>2020</v>
      </c>
      <c r="G16" s="4" t="s">
        <v>190</v>
      </c>
    </row>
    <row r="17" spans="2:8" x14ac:dyDescent="0.2">
      <c r="B17" s="1"/>
      <c r="F17">
        <v>2021</v>
      </c>
      <c r="G17" s="4" t="s">
        <v>212</v>
      </c>
    </row>
    <row r="18" spans="2:8" x14ac:dyDescent="0.2">
      <c r="B18" s="1"/>
      <c r="C18" s="13"/>
      <c r="F18">
        <v>2022</v>
      </c>
      <c r="G18" s="4" t="s">
        <v>245</v>
      </c>
    </row>
    <row r="19" spans="2:8" x14ac:dyDescent="0.2">
      <c r="B19" s="1" t="s">
        <v>11</v>
      </c>
      <c r="C19" s="13" t="s">
        <v>39</v>
      </c>
      <c r="F19">
        <v>2023</v>
      </c>
      <c r="G19" s="4" t="s">
        <v>306</v>
      </c>
    </row>
    <row r="20" spans="2:8" x14ac:dyDescent="0.2">
      <c r="B20" s="1" t="s">
        <v>20</v>
      </c>
      <c r="C20" s="13" t="s">
        <v>1</v>
      </c>
    </row>
    <row r="21" spans="2:8" x14ac:dyDescent="0.2">
      <c r="B21" s="1"/>
      <c r="C21" s="13"/>
    </row>
    <row r="22" spans="2:8" x14ac:dyDescent="0.2">
      <c r="B22" s="1"/>
      <c r="C22" s="13"/>
    </row>
    <row r="23" spans="2:8" x14ac:dyDescent="0.2">
      <c r="B23" s="1"/>
    </row>
    <row r="24" spans="2:8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8" x14ac:dyDescent="0.2">
      <c r="H25" s="17"/>
    </row>
    <row r="26" spans="2:8" x14ac:dyDescent="0.2">
      <c r="B26" s="49" t="s">
        <v>168</v>
      </c>
      <c r="D26" t="str">
        <f>Felles!C4</f>
        <v>August</v>
      </c>
      <c r="E26">
        <v>1</v>
      </c>
      <c r="F26" s="47">
        <v>760</v>
      </c>
      <c r="G26" s="18"/>
      <c r="H26" s="17">
        <f>E26*F26</f>
        <v>760</v>
      </c>
    </row>
    <row r="27" spans="2:8" x14ac:dyDescent="0.2">
      <c r="B27" t="s">
        <v>122</v>
      </c>
      <c r="E27">
        <v>0</v>
      </c>
      <c r="F27" s="47">
        <v>38</v>
      </c>
      <c r="G27" s="18"/>
      <c r="H27" s="17">
        <f>E27*F27</f>
        <v>0</v>
      </c>
    </row>
    <row r="28" spans="2:8" x14ac:dyDescent="0.2">
      <c r="F28" s="17"/>
      <c r="G28" s="18"/>
      <c r="H28" s="17"/>
    </row>
    <row r="29" spans="2:8" x14ac:dyDescent="0.2">
      <c r="B29">
        <v>0</v>
      </c>
      <c r="F29" s="17"/>
      <c r="G29" s="18"/>
      <c r="H29" s="17"/>
    </row>
    <row r="30" spans="2:8" x14ac:dyDescent="0.2">
      <c r="F30" s="17"/>
      <c r="G30" s="18"/>
      <c r="H30" s="17"/>
    </row>
    <row r="31" spans="2:8" x14ac:dyDescent="0.2">
      <c r="B31" t="s">
        <v>1</v>
      </c>
      <c r="F31" s="17"/>
      <c r="G31" s="18"/>
      <c r="H31" s="17"/>
    </row>
    <row r="32" spans="2:8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760</v>
      </c>
    </row>
  </sheetData>
  <phoneticPr fontId="2" type="noConversion"/>
  <pageMargins left="0.75" right="0.75" top="1" bottom="1" header="0.5" footer="0.5"/>
  <pageSetup paperSize="9" scale="92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FE0E-6EC5-48DD-9FD5-2A8E3CD7657A}">
  <sheetPr codeName="Ark30">
    <pageSetUpPr fitToPage="1"/>
  </sheetPr>
  <dimension ref="B3:H40"/>
  <sheetViews>
    <sheetView topLeftCell="A6" workbookViewId="0">
      <selection activeCell="L24" sqref="L24"/>
    </sheetView>
  </sheetViews>
  <sheetFormatPr baseColWidth="10" defaultRowHeight="12.75" x14ac:dyDescent="0.2"/>
  <sheetData>
    <row r="3" spans="2:8" ht="20.25" x14ac:dyDescent="0.3">
      <c r="B3" s="10" t="s">
        <v>22</v>
      </c>
    </row>
    <row r="5" spans="2:8" x14ac:dyDescent="0.2">
      <c r="B5" s="1" t="s">
        <v>0</v>
      </c>
      <c r="C5" s="49" t="s">
        <v>255</v>
      </c>
      <c r="F5" s="1" t="s">
        <v>19</v>
      </c>
      <c r="G5" s="12" t="s">
        <v>29</v>
      </c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 t="s">
        <v>1</v>
      </c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/>
      <c r="C9" s="4"/>
      <c r="F9" s="1"/>
      <c r="G9" s="12"/>
      <c r="H9" s="13"/>
    </row>
    <row r="10" spans="2:8" x14ac:dyDescent="0.2">
      <c r="B10" s="1" t="s">
        <v>18</v>
      </c>
      <c r="C10" s="4">
        <v>32126</v>
      </c>
      <c r="F10" s="1"/>
      <c r="G10" s="1"/>
      <c r="H10" s="13"/>
    </row>
    <row r="11" spans="2:8" x14ac:dyDescent="0.2">
      <c r="B11" s="1"/>
      <c r="C11" s="14" t="s">
        <v>1</v>
      </c>
      <c r="F11" s="1" t="s">
        <v>10</v>
      </c>
      <c r="G11" s="15">
        <f>Felles!C2</f>
        <v>46265</v>
      </c>
      <c r="H11" s="13"/>
    </row>
    <row r="12" spans="2:8" x14ac:dyDescent="0.2">
      <c r="B12" s="1"/>
    </row>
    <row r="13" spans="2:8" x14ac:dyDescent="0.2">
      <c r="B13" s="8" t="s">
        <v>7</v>
      </c>
      <c r="F13" t="s">
        <v>257</v>
      </c>
    </row>
    <row r="14" spans="2:8" x14ac:dyDescent="0.2">
      <c r="B14" s="1" t="s">
        <v>8</v>
      </c>
      <c r="C14" s="4" t="s">
        <v>256</v>
      </c>
    </row>
    <row r="15" spans="2:8" x14ac:dyDescent="0.2">
      <c r="B15" s="1" t="s">
        <v>9</v>
      </c>
      <c r="C15" s="11" t="s">
        <v>1</v>
      </c>
    </row>
    <row r="16" spans="2:8" x14ac:dyDescent="0.2">
      <c r="B16" s="1"/>
    </row>
    <row r="17" spans="2:8" x14ac:dyDescent="0.2">
      <c r="B17" s="1" t="s">
        <v>16</v>
      </c>
      <c r="C17" s="11" t="s">
        <v>29</v>
      </c>
    </row>
    <row r="18" spans="2:8" x14ac:dyDescent="0.2">
      <c r="B18" s="1"/>
      <c r="F18" t="s">
        <v>268</v>
      </c>
    </row>
    <row r="19" spans="2:8" x14ac:dyDescent="0.2">
      <c r="B19" s="1"/>
      <c r="C19" s="13"/>
    </row>
    <row r="20" spans="2:8" x14ac:dyDescent="0.2">
      <c r="B20" s="1" t="s">
        <v>11</v>
      </c>
      <c r="C20" s="13" t="s">
        <v>39</v>
      </c>
      <c r="F20" s="4" t="s">
        <v>345</v>
      </c>
    </row>
    <row r="21" spans="2:8" x14ac:dyDescent="0.2">
      <c r="B21" s="1" t="s">
        <v>20</v>
      </c>
      <c r="C21" s="13" t="s">
        <v>1</v>
      </c>
    </row>
    <row r="22" spans="2:8" x14ac:dyDescent="0.2">
      <c r="B22" s="1"/>
      <c r="C22" s="13"/>
    </row>
    <row r="23" spans="2:8" x14ac:dyDescent="0.2">
      <c r="B23" s="1"/>
      <c r="C23" s="13"/>
    </row>
    <row r="24" spans="2:8" x14ac:dyDescent="0.2">
      <c r="B24" s="1"/>
    </row>
    <row r="25" spans="2:8" x14ac:dyDescent="0.2">
      <c r="B25" s="8" t="s">
        <v>15</v>
      </c>
      <c r="C25" s="2"/>
      <c r="E25" s="21" t="s">
        <v>12</v>
      </c>
      <c r="F25" s="21" t="s">
        <v>13</v>
      </c>
      <c r="G25" s="8"/>
      <c r="H25" s="16" t="s">
        <v>14</v>
      </c>
    </row>
    <row r="26" spans="2:8" x14ac:dyDescent="0.2">
      <c r="H26" s="17"/>
    </row>
    <row r="27" spans="2:8" x14ac:dyDescent="0.2">
      <c r="B27" s="49" t="s">
        <v>328</v>
      </c>
      <c r="D27" t="str">
        <f>Felles!C4</f>
        <v>August</v>
      </c>
      <c r="E27">
        <v>1</v>
      </c>
      <c r="F27" s="51">
        <v>805</v>
      </c>
      <c r="G27" s="18"/>
      <c r="H27" s="17">
        <f>E27*F27</f>
        <v>805</v>
      </c>
    </row>
    <row r="28" spans="2:8" x14ac:dyDescent="0.2">
      <c r="B28" s="49" t="s">
        <v>168</v>
      </c>
      <c r="D28">
        <f>Felles!C5</f>
        <v>0</v>
      </c>
      <c r="E28">
        <v>0</v>
      </c>
      <c r="F28" s="51">
        <v>40</v>
      </c>
      <c r="G28" s="18"/>
      <c r="H28" s="17">
        <f>E28*F28</f>
        <v>0</v>
      </c>
    </row>
    <row r="29" spans="2:8" x14ac:dyDescent="0.2">
      <c r="F29" s="17"/>
      <c r="G29" s="85" t="s">
        <v>1</v>
      </c>
      <c r="H29" s="17"/>
    </row>
    <row r="30" spans="2:8" x14ac:dyDescent="0.2">
      <c r="F30" s="17"/>
      <c r="G30" s="18"/>
      <c r="H30" s="17"/>
    </row>
    <row r="31" spans="2:8" x14ac:dyDescent="0.2">
      <c r="F31" s="17"/>
      <c r="G31" s="18"/>
      <c r="H31" s="17"/>
    </row>
    <row r="32" spans="2:8" x14ac:dyDescent="0.2">
      <c r="B32" t="s">
        <v>1</v>
      </c>
      <c r="F32" s="17"/>
      <c r="G32" s="18"/>
      <c r="H32" s="17"/>
    </row>
    <row r="33" spans="2:8" x14ac:dyDescent="0.2">
      <c r="B33" s="8" t="s">
        <v>21</v>
      </c>
      <c r="C33" t="s">
        <v>1</v>
      </c>
      <c r="F33" s="17"/>
      <c r="G33" s="18"/>
      <c r="H33" s="17"/>
    </row>
    <row r="34" spans="2:8" x14ac:dyDescent="0.2">
      <c r="B34" s="11" t="s">
        <v>1</v>
      </c>
      <c r="C34" s="11"/>
      <c r="D34" s="11"/>
      <c r="E34" s="11" t="s">
        <v>1</v>
      </c>
      <c r="F34" s="22" t="s">
        <v>1</v>
      </c>
      <c r="G34" s="23"/>
      <c r="H34" s="17" t="s">
        <v>1</v>
      </c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B36" s="11"/>
      <c r="C36" s="11"/>
      <c r="D36" s="11"/>
      <c r="E36" s="11"/>
      <c r="F36" s="22"/>
      <c r="G36" s="22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x14ac:dyDescent="0.2">
      <c r="F39" s="17"/>
      <c r="G39" s="17"/>
      <c r="H39" s="17"/>
    </row>
    <row r="40" spans="2:8" ht="15.75" x14ac:dyDescent="0.25">
      <c r="B40" s="3" t="s">
        <v>23</v>
      </c>
      <c r="C40" s="3"/>
      <c r="D40" s="3"/>
      <c r="E40" s="3"/>
      <c r="F40" s="19"/>
      <c r="G40" s="19"/>
      <c r="H40" s="19">
        <f>SUM(H27:H39)</f>
        <v>805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9994-5593-420F-9A41-1FA7042903C8}">
  <sheetPr codeName="Ark31">
    <pageSetUpPr fitToPage="1"/>
  </sheetPr>
  <dimension ref="B2:O58"/>
  <sheetViews>
    <sheetView workbookViewId="0">
      <selection activeCell="M28" sqref="M28"/>
    </sheetView>
  </sheetViews>
  <sheetFormatPr baseColWidth="10" defaultRowHeight="12.75" x14ac:dyDescent="0.2"/>
  <cols>
    <col min="2" max="2" width="14.8554687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112</v>
      </c>
      <c r="F4" s="1" t="s">
        <v>19</v>
      </c>
      <c r="G4" s="12" t="s">
        <v>30</v>
      </c>
      <c r="H4" s="13"/>
    </row>
    <row r="5" spans="2:8" x14ac:dyDescent="0.2">
      <c r="B5" s="1" t="s">
        <v>18</v>
      </c>
      <c r="C5" s="4" t="s">
        <v>1</v>
      </c>
      <c r="D5" s="4">
        <v>31510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4" t="s">
        <v>113</v>
      </c>
      <c r="F9" s="4" t="s">
        <v>37</v>
      </c>
      <c r="G9" s="4" t="s">
        <v>195</v>
      </c>
    </row>
    <row r="10" spans="2:8" x14ac:dyDescent="0.2">
      <c r="B10" s="1" t="s">
        <v>9</v>
      </c>
      <c r="C10" s="11" t="s">
        <v>1</v>
      </c>
    </row>
    <row r="11" spans="2:8" x14ac:dyDescent="0.2">
      <c r="B11" s="1"/>
      <c r="F11" s="4" t="s">
        <v>126</v>
      </c>
    </row>
    <row r="12" spans="2:8" x14ac:dyDescent="0.2">
      <c r="B12" s="1" t="s">
        <v>16</v>
      </c>
      <c r="C12" s="11" t="s">
        <v>29</v>
      </c>
    </row>
    <row r="13" spans="2:8" x14ac:dyDescent="0.2">
      <c r="B13" s="1"/>
      <c r="F13" s="56"/>
    </row>
    <row r="14" spans="2:8" x14ac:dyDescent="0.2">
      <c r="B14" s="1"/>
      <c r="C14" s="13"/>
      <c r="F14" s="20" t="s">
        <v>176</v>
      </c>
    </row>
    <row r="15" spans="2:8" x14ac:dyDescent="0.2">
      <c r="B15" s="1" t="s">
        <v>11</v>
      </c>
      <c r="C15" s="13" t="s">
        <v>39</v>
      </c>
    </row>
    <row r="16" spans="2:8" x14ac:dyDescent="0.2">
      <c r="B16" s="1" t="s">
        <v>20</v>
      </c>
      <c r="C16" s="13" t="s">
        <v>1</v>
      </c>
    </row>
    <row r="17" spans="2:15" x14ac:dyDescent="0.2">
      <c r="B17" s="1"/>
      <c r="C17" s="13"/>
    </row>
    <row r="18" spans="2:15" x14ac:dyDescent="0.2">
      <c r="B18" s="1"/>
      <c r="C18" s="13"/>
    </row>
    <row r="19" spans="2:15" x14ac:dyDescent="0.2">
      <c r="B19" s="1"/>
    </row>
    <row r="20" spans="2:15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  <c r="J20" s="78" t="s">
        <v>794</v>
      </c>
    </row>
    <row r="21" spans="2:15" x14ac:dyDescent="0.2">
      <c r="H21" s="17"/>
    </row>
    <row r="22" spans="2:15" ht="15" x14ac:dyDescent="0.25">
      <c r="B22" s="49" t="s">
        <v>87</v>
      </c>
      <c r="D22" t="str">
        <f>Felles!C4</f>
        <v>August</v>
      </c>
      <c r="E22">
        <v>1</v>
      </c>
      <c r="F22" s="17">
        <v>2960</v>
      </c>
      <c r="G22" s="18"/>
      <c r="H22" s="17">
        <f>E22*F22</f>
        <v>2960</v>
      </c>
      <c r="I22" s="4" t="s">
        <v>1</v>
      </c>
      <c r="K22" s="86"/>
      <c r="L22" s="86"/>
      <c r="N22" s="86"/>
      <c r="O22" s="162">
        <v>2026</v>
      </c>
    </row>
    <row r="23" spans="2:15" ht="15" x14ac:dyDescent="0.25">
      <c r="B23" s="40" t="s">
        <v>361</v>
      </c>
      <c r="F23" s="17"/>
      <c r="G23" s="18"/>
      <c r="H23" s="17"/>
      <c r="J23" s="163" t="s">
        <v>785</v>
      </c>
      <c r="K23" s="163" t="s">
        <v>786</v>
      </c>
      <c r="L23" s="163"/>
      <c r="M23" s="164"/>
      <c r="N23" s="165"/>
      <c r="O23" s="166" t="s">
        <v>787</v>
      </c>
    </row>
    <row r="24" spans="2:15" ht="15" x14ac:dyDescent="0.25">
      <c r="B24" s="4" t="s">
        <v>362</v>
      </c>
      <c r="E24">
        <v>1</v>
      </c>
      <c r="F24" s="17">
        <v>360</v>
      </c>
      <c r="G24" s="18"/>
      <c r="H24" s="17">
        <f>E24*F24</f>
        <v>360</v>
      </c>
      <c r="J24" s="163"/>
      <c r="K24" s="163"/>
      <c r="L24" s="163"/>
      <c r="M24" s="164"/>
      <c r="N24" s="165"/>
      <c r="O24" s="166"/>
    </row>
    <row r="25" spans="2:15" ht="15" x14ac:dyDescent="0.25">
      <c r="F25" s="17"/>
      <c r="G25" s="18"/>
      <c r="H25" s="17"/>
      <c r="J25" s="86">
        <v>1</v>
      </c>
      <c r="K25" s="86">
        <v>99</v>
      </c>
      <c r="L25" s="86"/>
      <c r="N25" s="167"/>
      <c r="O25" s="168">
        <v>2960</v>
      </c>
    </row>
    <row r="26" spans="2:15" ht="15" x14ac:dyDescent="0.25">
      <c r="B26" s="108" t="s">
        <v>558</v>
      </c>
      <c r="F26" s="17"/>
      <c r="G26" s="18"/>
      <c r="H26" s="17"/>
      <c r="J26">
        <v>100</v>
      </c>
      <c r="K26">
        <v>149</v>
      </c>
      <c r="N26" s="167"/>
      <c r="O26" s="168">
        <v>3580</v>
      </c>
    </row>
    <row r="27" spans="2:15" ht="15" x14ac:dyDescent="0.25">
      <c r="F27" s="17"/>
      <c r="G27" s="18"/>
      <c r="H27" s="17"/>
      <c r="J27">
        <v>150</v>
      </c>
      <c r="K27">
        <v>199</v>
      </c>
      <c r="N27" s="167"/>
      <c r="O27" s="168">
        <v>4090</v>
      </c>
    </row>
    <row r="28" spans="2:15" ht="15" x14ac:dyDescent="0.25">
      <c r="F28" s="17"/>
      <c r="G28" s="18"/>
      <c r="H28" s="17"/>
      <c r="J28">
        <v>200</v>
      </c>
      <c r="K28">
        <v>249</v>
      </c>
      <c r="N28" s="167"/>
      <c r="O28" s="168">
        <v>4670</v>
      </c>
    </row>
    <row r="29" spans="2:15" ht="15" x14ac:dyDescent="0.25">
      <c r="B29" s="33"/>
      <c r="F29" s="17"/>
      <c r="G29" s="18"/>
      <c r="H29" s="17"/>
      <c r="J29">
        <v>250</v>
      </c>
      <c r="K29">
        <v>299</v>
      </c>
      <c r="L29" s="86"/>
      <c r="N29" s="167"/>
      <c r="O29" s="168">
        <v>5760</v>
      </c>
    </row>
    <row r="30" spans="2:15" ht="15" x14ac:dyDescent="0.25">
      <c r="F30" s="17"/>
      <c r="G30" s="18"/>
      <c r="H30" s="17"/>
      <c r="J30">
        <v>300</v>
      </c>
      <c r="K30">
        <v>349</v>
      </c>
      <c r="N30" s="167"/>
      <c r="O30" s="168">
        <v>6830</v>
      </c>
    </row>
    <row r="31" spans="2:15" ht="15" x14ac:dyDescent="0.25">
      <c r="B31" t="s">
        <v>1</v>
      </c>
      <c r="F31" s="17"/>
      <c r="G31" s="18"/>
      <c r="H31" s="17"/>
      <c r="J31">
        <v>350</v>
      </c>
      <c r="K31">
        <v>399</v>
      </c>
      <c r="N31" s="167"/>
      <c r="O31" s="168">
        <v>7920</v>
      </c>
    </row>
    <row r="32" spans="2:15" ht="15" x14ac:dyDescent="0.25">
      <c r="B32" s="8" t="s">
        <v>21</v>
      </c>
      <c r="C32" t="s">
        <v>1</v>
      </c>
      <c r="F32" s="17"/>
      <c r="G32" s="18"/>
      <c r="H32" s="17"/>
      <c r="J32">
        <v>400</v>
      </c>
      <c r="K32">
        <v>449</v>
      </c>
      <c r="N32" s="167"/>
      <c r="O32" s="168">
        <v>8980</v>
      </c>
    </row>
    <row r="33" spans="2:15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J33">
        <v>450</v>
      </c>
      <c r="K33">
        <v>499</v>
      </c>
      <c r="N33" s="167"/>
      <c r="O33" s="168">
        <v>10080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J34">
        <v>500</v>
      </c>
      <c r="K34">
        <v>549</v>
      </c>
      <c r="N34" s="167"/>
      <c r="O34" s="168">
        <v>11150</v>
      </c>
    </row>
    <row r="35" spans="2:15" ht="15" x14ac:dyDescent="0.25">
      <c r="B35" s="11"/>
      <c r="C35" s="11"/>
      <c r="D35" s="11"/>
      <c r="E35" s="11"/>
      <c r="F35" s="22"/>
      <c r="G35" s="22"/>
      <c r="H35" s="17"/>
      <c r="J35">
        <v>550</v>
      </c>
      <c r="K35">
        <v>599</v>
      </c>
      <c r="N35" s="167"/>
      <c r="O35" s="168">
        <v>12200</v>
      </c>
    </row>
    <row r="36" spans="2:15" ht="15" x14ac:dyDescent="0.25">
      <c r="F36" s="17"/>
      <c r="G36" s="17"/>
      <c r="H36" s="17"/>
      <c r="J36">
        <v>600</v>
      </c>
      <c r="K36">
        <v>649</v>
      </c>
      <c r="N36" s="167"/>
      <c r="O36" s="168">
        <v>13260</v>
      </c>
    </row>
    <row r="37" spans="2:15" ht="15" x14ac:dyDescent="0.25">
      <c r="F37" s="17"/>
      <c r="G37" s="17"/>
      <c r="H37" s="17"/>
      <c r="J37">
        <v>650</v>
      </c>
      <c r="K37">
        <v>699</v>
      </c>
      <c r="N37" s="167"/>
      <c r="O37" s="168">
        <v>14360</v>
      </c>
    </row>
    <row r="38" spans="2:15" ht="15" x14ac:dyDescent="0.25">
      <c r="F38" s="17"/>
      <c r="G38" s="17"/>
      <c r="H38" s="17"/>
      <c r="J38">
        <v>700</v>
      </c>
      <c r="K38">
        <v>749</v>
      </c>
      <c r="N38" s="167"/>
      <c r="O38" s="168">
        <v>15430</v>
      </c>
    </row>
    <row r="39" spans="2:15" ht="15.75" x14ac:dyDescent="0.25">
      <c r="B39" s="3" t="s">
        <v>23</v>
      </c>
      <c r="C39" s="3"/>
      <c r="D39" s="3"/>
      <c r="E39" s="3"/>
      <c r="F39" s="19"/>
      <c r="G39" s="19"/>
      <c r="H39" s="19">
        <f>SUM(H22:H38)</f>
        <v>3320</v>
      </c>
      <c r="J39">
        <v>750</v>
      </c>
      <c r="K39">
        <v>799</v>
      </c>
      <c r="N39" s="167"/>
      <c r="O39" s="168">
        <v>16530</v>
      </c>
    </row>
    <row r="40" spans="2:15" ht="15" x14ac:dyDescent="0.25">
      <c r="J40">
        <v>800</v>
      </c>
      <c r="K40">
        <v>849</v>
      </c>
      <c r="N40" s="167"/>
      <c r="O40" s="168">
        <v>17590</v>
      </c>
    </row>
    <row r="41" spans="2:15" ht="15" x14ac:dyDescent="0.25">
      <c r="J41">
        <v>850</v>
      </c>
      <c r="K41">
        <v>899</v>
      </c>
      <c r="N41" s="167"/>
      <c r="O41" s="168">
        <v>18680</v>
      </c>
    </row>
    <row r="42" spans="2:15" ht="15" x14ac:dyDescent="0.25">
      <c r="J42">
        <v>900</v>
      </c>
      <c r="K42">
        <v>949</v>
      </c>
      <c r="N42" s="167"/>
      <c r="O42" s="168">
        <v>19750</v>
      </c>
    </row>
    <row r="43" spans="2:15" ht="15" x14ac:dyDescent="0.25">
      <c r="J43">
        <v>950</v>
      </c>
      <c r="K43">
        <v>999</v>
      </c>
      <c r="N43" s="167"/>
      <c r="O43" s="168">
        <v>20820</v>
      </c>
    </row>
    <row r="44" spans="2:15" ht="15" x14ac:dyDescent="0.25">
      <c r="J44">
        <v>1000</v>
      </c>
      <c r="K44">
        <v>1099</v>
      </c>
      <c r="N44" s="167"/>
      <c r="O44" s="168">
        <v>23000</v>
      </c>
    </row>
    <row r="45" spans="2:15" ht="15" x14ac:dyDescent="0.25">
      <c r="J45">
        <v>1100</v>
      </c>
      <c r="K45">
        <v>1199</v>
      </c>
      <c r="N45" s="167"/>
      <c r="O45" s="168">
        <v>24100</v>
      </c>
    </row>
    <row r="46" spans="2:15" ht="15" x14ac:dyDescent="0.25">
      <c r="J46">
        <v>1200</v>
      </c>
      <c r="K46">
        <v>1299</v>
      </c>
      <c r="N46" s="167"/>
      <c r="O46" s="168">
        <v>26260</v>
      </c>
    </row>
    <row r="47" spans="2:15" ht="15" x14ac:dyDescent="0.25">
      <c r="J47">
        <v>1300</v>
      </c>
      <c r="K47">
        <v>1399</v>
      </c>
      <c r="N47" s="167"/>
      <c r="O47" s="168">
        <v>28400</v>
      </c>
    </row>
    <row r="48" spans="2:15" ht="15" x14ac:dyDescent="0.25">
      <c r="J48">
        <v>1400</v>
      </c>
      <c r="K48">
        <v>1499</v>
      </c>
      <c r="N48" s="167"/>
      <c r="O48" s="168">
        <v>30240</v>
      </c>
    </row>
    <row r="49" spans="10:15" ht="15" x14ac:dyDescent="0.25">
      <c r="J49">
        <v>1500</v>
      </c>
      <c r="K49">
        <v>1599</v>
      </c>
      <c r="N49" s="167"/>
      <c r="O49" s="168">
        <v>32710</v>
      </c>
    </row>
    <row r="50" spans="10:15" ht="15" x14ac:dyDescent="0.25">
      <c r="J50">
        <v>1600</v>
      </c>
      <c r="K50">
        <v>1699</v>
      </c>
      <c r="N50" s="167"/>
      <c r="O50" s="168">
        <v>34890</v>
      </c>
    </row>
    <row r="51" spans="10:15" ht="15" x14ac:dyDescent="0.25">
      <c r="J51">
        <v>1700</v>
      </c>
      <c r="K51">
        <v>1799</v>
      </c>
      <c r="N51" s="167"/>
      <c r="O51" s="168">
        <v>37060</v>
      </c>
    </row>
    <row r="52" spans="10:15" ht="15" x14ac:dyDescent="0.25">
      <c r="J52">
        <v>1800</v>
      </c>
      <c r="K52">
        <v>1899</v>
      </c>
      <c r="N52" s="167"/>
      <c r="O52" s="168">
        <v>39200</v>
      </c>
    </row>
    <row r="53" spans="10:15" ht="15" x14ac:dyDescent="0.25">
      <c r="J53">
        <v>1900</v>
      </c>
      <c r="K53">
        <v>1999</v>
      </c>
      <c r="N53" s="167"/>
      <c r="O53" s="168">
        <v>41380</v>
      </c>
    </row>
    <row r="54" spans="10:15" ht="15" x14ac:dyDescent="0.25">
      <c r="J54">
        <v>2000</v>
      </c>
      <c r="K54">
        <v>2099</v>
      </c>
      <c r="N54" s="167"/>
      <c r="O54" s="168">
        <v>43500</v>
      </c>
    </row>
    <row r="55" spans="10:15" ht="15" x14ac:dyDescent="0.25">
      <c r="J55">
        <v>2100</v>
      </c>
      <c r="K55">
        <v>2199</v>
      </c>
      <c r="N55" s="167"/>
      <c r="O55" s="168">
        <v>45650</v>
      </c>
    </row>
    <row r="56" spans="10:15" ht="15" x14ac:dyDescent="0.25">
      <c r="J56">
        <v>2200</v>
      </c>
      <c r="K56">
        <v>2299</v>
      </c>
      <c r="N56" s="167"/>
      <c r="O56" s="168">
        <v>47850</v>
      </c>
    </row>
    <row r="57" spans="10:15" ht="15" x14ac:dyDescent="0.25">
      <c r="J57">
        <v>2300</v>
      </c>
      <c r="K57">
        <v>2399</v>
      </c>
      <c r="N57" s="167"/>
      <c r="O57" s="168">
        <v>49980</v>
      </c>
    </row>
    <row r="58" spans="10:15" ht="15" x14ac:dyDescent="0.25">
      <c r="J58">
        <v>2400</v>
      </c>
      <c r="K58">
        <v>2499</v>
      </c>
      <c r="N58" s="167"/>
      <c r="O58" s="168">
        <v>52160</v>
      </c>
    </row>
  </sheetData>
  <phoneticPr fontId="2" type="noConversion"/>
  <pageMargins left="0.75" right="0.75" top="1" bottom="1" header="0.5" footer="0.5"/>
  <pageSetup paperSize="9" scale="82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F8CD-BB90-4A78-BAFA-6CCB6C935E48}">
  <sheetPr codeName="Ark32">
    <pageSetUpPr fitToPage="1"/>
  </sheetPr>
  <dimension ref="A2:O59"/>
  <sheetViews>
    <sheetView topLeftCell="A22" workbookViewId="0">
      <selection activeCell="H66" sqref="H66"/>
    </sheetView>
  </sheetViews>
  <sheetFormatPr baseColWidth="10" defaultRowHeight="12.75" x14ac:dyDescent="0.2"/>
  <cols>
    <col min="8" max="8" width="16.8554687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198</v>
      </c>
      <c r="F4" s="1" t="s">
        <v>19</v>
      </c>
      <c r="G4" s="12" t="s">
        <v>30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 t="s">
        <v>1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1</v>
      </c>
    </row>
    <row r="13" spans="2:8" x14ac:dyDescent="0.2">
      <c r="B13" s="1" t="s">
        <v>8</v>
      </c>
      <c r="C13" s="4" t="s">
        <v>368</v>
      </c>
      <c r="F13" t="s">
        <v>1</v>
      </c>
      <c r="G13" s="49" t="s">
        <v>199</v>
      </c>
    </row>
    <row r="14" spans="2:8" x14ac:dyDescent="0.2">
      <c r="B14" s="1" t="s">
        <v>9</v>
      </c>
      <c r="C14" s="11" t="s">
        <v>1</v>
      </c>
      <c r="F14" t="s">
        <v>1</v>
      </c>
    </row>
    <row r="15" spans="2:8" x14ac:dyDescent="0.2">
      <c r="B15" s="1"/>
      <c r="F15" t="s">
        <v>1</v>
      </c>
      <c r="G15" s="20"/>
    </row>
    <row r="16" spans="2:8" x14ac:dyDescent="0.2">
      <c r="B16" s="1" t="s">
        <v>16</v>
      </c>
      <c r="C16" s="11" t="s">
        <v>29</v>
      </c>
    </row>
    <row r="17" spans="2:13" x14ac:dyDescent="0.2">
      <c r="B17" s="1"/>
      <c r="G17" s="1"/>
    </row>
    <row r="18" spans="2:13" x14ac:dyDescent="0.2">
      <c r="B18" s="1"/>
      <c r="C18" s="13"/>
      <c r="G18" s="26"/>
    </row>
    <row r="19" spans="2:13" x14ac:dyDescent="0.2">
      <c r="B19" s="1" t="s">
        <v>11</v>
      </c>
      <c r="C19" s="13" t="s">
        <v>39</v>
      </c>
      <c r="G19" s="54" t="s">
        <v>248</v>
      </c>
      <c r="I19" t="s">
        <v>795</v>
      </c>
    </row>
    <row r="20" spans="2:13" x14ac:dyDescent="0.2">
      <c r="B20" s="1" t="s">
        <v>20</v>
      </c>
      <c r="C20" s="13" t="s">
        <v>1</v>
      </c>
    </row>
    <row r="21" spans="2:13" x14ac:dyDescent="0.2">
      <c r="B21" s="1"/>
      <c r="C21" s="13"/>
      <c r="G21" s="40">
        <f>52+93+36+26+8</f>
        <v>215</v>
      </c>
    </row>
    <row r="22" spans="2:13" x14ac:dyDescent="0.2">
      <c r="B22" s="1"/>
      <c r="C22" s="13"/>
    </row>
    <row r="23" spans="2:13" x14ac:dyDescent="0.2">
      <c r="B23" s="1"/>
      <c r="H23" s="4"/>
    </row>
    <row r="24" spans="2:13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I24" t="s">
        <v>1</v>
      </c>
    </row>
    <row r="25" spans="2:13" x14ac:dyDescent="0.2">
      <c r="H25" s="17"/>
    </row>
    <row r="26" spans="2:13" x14ac:dyDescent="0.2">
      <c r="B26" s="50"/>
      <c r="C26" s="40"/>
      <c r="D26" s="40"/>
      <c r="E26" s="40"/>
      <c r="F26" s="47"/>
      <c r="G26" s="75"/>
      <c r="H26" s="47"/>
    </row>
    <row r="27" spans="2:13" x14ac:dyDescent="0.2">
      <c r="B27" s="40"/>
      <c r="C27" s="40"/>
      <c r="D27" s="40"/>
      <c r="E27" s="40"/>
      <c r="F27" s="47"/>
      <c r="G27" s="75"/>
      <c r="H27" s="47"/>
    </row>
    <row r="28" spans="2:13" x14ac:dyDescent="0.2">
      <c r="B28" s="49" t="s">
        <v>116</v>
      </c>
      <c r="E28">
        <v>1</v>
      </c>
      <c r="F28" s="48">
        <v>700</v>
      </c>
      <c r="H28" s="51">
        <f>SUM(E28*F28)</f>
        <v>700</v>
      </c>
      <c r="J28" s="1" t="s">
        <v>796</v>
      </c>
      <c r="K28" s="1"/>
      <c r="L28" s="183"/>
      <c r="M28" s="1"/>
    </row>
    <row r="29" spans="2:13" x14ac:dyDescent="0.2">
      <c r="B29" t="s">
        <v>200</v>
      </c>
      <c r="E29">
        <v>1</v>
      </c>
      <c r="F29" s="17">
        <v>139</v>
      </c>
      <c r="G29" s="18"/>
      <c r="H29" s="17">
        <f>E29*F29</f>
        <v>139</v>
      </c>
    </row>
    <row r="30" spans="2:13" x14ac:dyDescent="0.2">
      <c r="B30" t="s">
        <v>201</v>
      </c>
      <c r="E30">
        <v>1</v>
      </c>
      <c r="F30" s="17">
        <v>139</v>
      </c>
      <c r="G30" s="18"/>
      <c r="H30" s="17">
        <f>E30*F30</f>
        <v>139</v>
      </c>
    </row>
    <row r="31" spans="2:13" x14ac:dyDescent="0.2">
      <c r="B31" s="4" t="s">
        <v>407</v>
      </c>
      <c r="E31">
        <v>1</v>
      </c>
      <c r="F31" s="17">
        <v>139</v>
      </c>
      <c r="G31" s="18"/>
      <c r="H31" s="17">
        <f>E31*F31</f>
        <v>139</v>
      </c>
    </row>
    <row r="32" spans="2:13" x14ac:dyDescent="0.2">
      <c r="B32" s="108" t="s">
        <v>612</v>
      </c>
      <c r="E32">
        <v>26</v>
      </c>
      <c r="F32" s="17">
        <v>36</v>
      </c>
      <c r="G32" s="18"/>
      <c r="H32" s="17">
        <f>E32*F32</f>
        <v>936</v>
      </c>
    </row>
    <row r="33" spans="1:13" x14ac:dyDescent="0.2">
      <c r="F33" s="17"/>
      <c r="G33" s="18"/>
      <c r="H33" s="17">
        <f>SUM(H28:H32)</f>
        <v>2053</v>
      </c>
    </row>
    <row r="34" spans="1:13" x14ac:dyDescent="0.2">
      <c r="F34" s="17"/>
      <c r="G34" s="18"/>
      <c r="H34" s="70"/>
    </row>
    <row r="35" spans="1:13" x14ac:dyDescent="0.2">
      <c r="B35" s="50"/>
      <c r="F35" s="17"/>
      <c r="G35" s="18"/>
      <c r="H35" s="17"/>
    </row>
    <row r="36" spans="1:13" x14ac:dyDescent="0.2">
      <c r="F36" s="17"/>
      <c r="G36" s="18"/>
      <c r="H36" s="17"/>
    </row>
    <row r="37" spans="1:13" x14ac:dyDescent="0.2">
      <c r="B37" t="s">
        <v>1</v>
      </c>
      <c r="F37" s="17"/>
      <c r="G37" s="18"/>
      <c r="H37" s="17"/>
    </row>
    <row r="38" spans="1:13" x14ac:dyDescent="0.2">
      <c r="B38" s="8" t="s">
        <v>21</v>
      </c>
      <c r="C38" t="s">
        <v>1</v>
      </c>
      <c r="F38" s="17"/>
      <c r="G38" s="18"/>
      <c r="H38" s="70" t="s">
        <v>1</v>
      </c>
    </row>
    <row r="39" spans="1:13" x14ac:dyDescent="0.2">
      <c r="B39" s="11" t="s">
        <v>1</v>
      </c>
      <c r="C39" s="11"/>
      <c r="D39" s="11"/>
      <c r="E39" s="11" t="s">
        <v>1</v>
      </c>
      <c r="F39" s="22" t="s">
        <v>1</v>
      </c>
      <c r="G39" s="23"/>
      <c r="H39" s="17" t="s">
        <v>1</v>
      </c>
    </row>
    <row r="40" spans="1:13" x14ac:dyDescent="0.2">
      <c r="B40" s="11"/>
      <c r="C40" s="11"/>
      <c r="D40" s="11"/>
      <c r="E40" s="11"/>
      <c r="F40" s="22"/>
      <c r="G40" s="22"/>
      <c r="H40" s="17"/>
    </row>
    <row r="41" spans="1:13" x14ac:dyDescent="0.2">
      <c r="B41" s="11"/>
      <c r="C41" s="11"/>
      <c r="D41" s="11"/>
      <c r="E41" s="11"/>
      <c r="F41" s="22"/>
      <c r="G41" s="22"/>
      <c r="H41" s="17"/>
    </row>
    <row r="42" spans="1:13" x14ac:dyDescent="0.2">
      <c r="F42" s="17"/>
      <c r="G42" s="17"/>
      <c r="H42" s="17"/>
    </row>
    <row r="43" spans="1:13" x14ac:dyDescent="0.2">
      <c r="F43" s="17"/>
      <c r="G43" s="17"/>
      <c r="H43" s="17"/>
    </row>
    <row r="44" spans="1:13" x14ac:dyDescent="0.2">
      <c r="F44" s="17"/>
      <c r="G44" s="17"/>
      <c r="H44" s="17"/>
    </row>
    <row r="45" spans="1:13" ht="15.75" x14ac:dyDescent="0.25">
      <c r="B45" s="3" t="s">
        <v>23</v>
      </c>
      <c r="C45" s="3"/>
      <c r="D45" s="3"/>
      <c r="E45" s="3"/>
      <c r="F45" s="19"/>
      <c r="G45" s="19"/>
      <c r="H45" s="19">
        <f>SUM(H28:H44)</f>
        <v>4106</v>
      </c>
    </row>
    <row r="47" spans="1:13" x14ac:dyDescent="0.2">
      <c r="B47" s="1" t="s">
        <v>216</v>
      </c>
      <c r="C47" s="1" t="s">
        <v>348</v>
      </c>
      <c r="D47" s="1" t="s">
        <v>409</v>
      </c>
      <c r="E47" s="1" t="s">
        <v>521</v>
      </c>
      <c r="F47" s="1" t="s">
        <v>586</v>
      </c>
      <c r="G47" s="1" t="s">
        <v>380</v>
      </c>
      <c r="H47" s="1" t="s">
        <v>391</v>
      </c>
      <c r="I47" s="1" t="s">
        <v>33</v>
      </c>
      <c r="J47" s="1" t="s">
        <v>327</v>
      </c>
      <c r="K47" s="1" t="s">
        <v>34</v>
      </c>
      <c r="L47" s="1" t="s">
        <v>655</v>
      </c>
      <c r="M47" s="1" t="s">
        <v>537</v>
      </c>
    </row>
    <row r="48" spans="1:13" x14ac:dyDescent="0.2">
      <c r="A48">
        <v>2025</v>
      </c>
      <c r="B48">
        <f>39+0+11+26</f>
        <v>76</v>
      </c>
      <c r="C48">
        <f>16+15+27+0</f>
        <v>58</v>
      </c>
      <c r="E48">
        <f>10+0+31+36</f>
        <v>77</v>
      </c>
      <c r="F48">
        <f>SUM(F49:F51)</f>
        <v>71</v>
      </c>
      <c r="G48">
        <v>29</v>
      </c>
      <c r="H48">
        <v>27</v>
      </c>
      <c r="I48">
        <v>27</v>
      </c>
      <c r="J48">
        <v>13</v>
      </c>
      <c r="K48">
        <v>45</v>
      </c>
      <c r="L48">
        <v>36</v>
      </c>
    </row>
    <row r="49" spans="1:15" x14ac:dyDescent="0.2">
      <c r="A49" s="108" t="s">
        <v>590</v>
      </c>
      <c r="F49">
        <v>25</v>
      </c>
      <c r="G49">
        <v>1</v>
      </c>
      <c r="H49">
        <v>2</v>
      </c>
      <c r="I49">
        <v>3</v>
      </c>
      <c r="J49">
        <v>1</v>
      </c>
      <c r="K49">
        <v>1</v>
      </c>
      <c r="L49">
        <v>0</v>
      </c>
    </row>
    <row r="50" spans="1:15" x14ac:dyDescent="0.2">
      <c r="A50" s="108" t="s">
        <v>587</v>
      </c>
      <c r="F50">
        <v>27</v>
      </c>
      <c r="G50">
        <v>28</v>
      </c>
      <c r="H50">
        <v>10</v>
      </c>
      <c r="I50">
        <v>13</v>
      </c>
      <c r="J50">
        <v>18</v>
      </c>
      <c r="K50">
        <v>19</v>
      </c>
      <c r="L50">
        <v>10</v>
      </c>
    </row>
    <row r="51" spans="1:15" ht="13.5" thickBot="1" x14ac:dyDescent="0.25">
      <c r="A51" s="108" t="s">
        <v>588</v>
      </c>
      <c r="F51">
        <v>19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5" ht="13.5" thickBot="1" x14ac:dyDescent="0.25">
      <c r="A52" s="108" t="s">
        <v>589</v>
      </c>
      <c r="F52" s="152">
        <f t="shared" ref="F52:K52" si="0">SUM(F48:F51)</f>
        <v>142</v>
      </c>
      <c r="G52" s="153">
        <f t="shared" si="0"/>
        <v>58</v>
      </c>
      <c r="H52" s="153">
        <f t="shared" si="0"/>
        <v>39</v>
      </c>
      <c r="I52" s="153">
        <f t="shared" si="0"/>
        <v>43</v>
      </c>
      <c r="J52" s="153">
        <f t="shared" si="0"/>
        <v>32</v>
      </c>
      <c r="K52" s="153">
        <f t="shared" si="0"/>
        <v>65</v>
      </c>
      <c r="L52" s="153">
        <f>SUM(L48:L51)</f>
        <v>46</v>
      </c>
      <c r="M52" s="153"/>
      <c r="N52" s="153"/>
      <c r="O52" s="154"/>
    </row>
    <row r="53" spans="1:15" x14ac:dyDescent="0.2">
      <c r="B53" s="1" t="s">
        <v>216</v>
      </c>
      <c r="C53" s="1" t="s">
        <v>348</v>
      </c>
      <c r="D53" s="1" t="s">
        <v>409</v>
      </c>
      <c r="E53" s="1" t="s">
        <v>521</v>
      </c>
      <c r="F53" s="1" t="s">
        <v>77</v>
      </c>
      <c r="G53" s="1" t="s">
        <v>31</v>
      </c>
      <c r="H53" s="1" t="s">
        <v>32</v>
      </c>
      <c r="I53" s="1" t="s">
        <v>33</v>
      </c>
      <c r="J53" s="1" t="s">
        <v>327</v>
      </c>
      <c r="K53" s="1" t="s">
        <v>34</v>
      </c>
      <c r="L53" s="1" t="s">
        <v>35</v>
      </c>
      <c r="M53" s="1" t="s">
        <v>36</v>
      </c>
    </row>
    <row r="54" spans="1:15" x14ac:dyDescent="0.2">
      <c r="A54">
        <v>2026</v>
      </c>
    </row>
    <row r="55" spans="1:15" x14ac:dyDescent="0.2">
      <c r="A55" s="108" t="s">
        <v>590</v>
      </c>
      <c r="B55">
        <v>33</v>
      </c>
      <c r="C55">
        <v>25</v>
      </c>
      <c r="D55">
        <v>27</v>
      </c>
      <c r="E55">
        <v>20</v>
      </c>
      <c r="F55">
        <v>19</v>
      </c>
      <c r="G55">
        <v>28</v>
      </c>
      <c r="H55">
        <v>8</v>
      </c>
      <c r="I55">
        <v>22</v>
      </c>
    </row>
    <row r="56" spans="1:15" x14ac:dyDescent="0.2">
      <c r="A56" s="108" t="s">
        <v>587</v>
      </c>
      <c r="B56">
        <v>3</v>
      </c>
      <c r="C56">
        <v>2</v>
      </c>
      <c r="D56">
        <v>1</v>
      </c>
      <c r="E56">
        <v>5</v>
      </c>
      <c r="F56">
        <v>1</v>
      </c>
      <c r="G56">
        <v>1</v>
      </c>
      <c r="H56">
        <v>0</v>
      </c>
      <c r="I56">
        <v>0</v>
      </c>
    </row>
    <row r="57" spans="1:15" x14ac:dyDescent="0.2">
      <c r="A57" s="108" t="s">
        <v>588</v>
      </c>
      <c r="B57">
        <v>13</v>
      </c>
      <c r="C57">
        <v>26</v>
      </c>
      <c r="D57">
        <v>18</v>
      </c>
      <c r="E57">
        <v>15</v>
      </c>
      <c r="F57">
        <v>19</v>
      </c>
      <c r="G57">
        <v>17</v>
      </c>
      <c r="H57">
        <v>18</v>
      </c>
      <c r="I57">
        <v>14</v>
      </c>
    </row>
    <row r="58" spans="1:15" x14ac:dyDescent="0.2">
      <c r="A58" s="108" t="s">
        <v>589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15" x14ac:dyDescent="0.2">
      <c r="B59" s="1">
        <f t="shared" ref="B59:G59" si="1">SUM(B55:B58)</f>
        <v>49</v>
      </c>
      <c r="C59" s="1">
        <f t="shared" si="1"/>
        <v>53</v>
      </c>
      <c r="D59" s="1">
        <f t="shared" si="1"/>
        <v>46</v>
      </c>
      <c r="E59" s="1">
        <f t="shared" si="1"/>
        <v>40</v>
      </c>
      <c r="F59" s="1">
        <f t="shared" si="1"/>
        <v>39</v>
      </c>
      <c r="G59" s="1">
        <f t="shared" si="1"/>
        <v>46</v>
      </c>
      <c r="H59" s="1">
        <f>SUM(H55:H58)</f>
        <v>26</v>
      </c>
      <c r="I59" s="1">
        <v>36</v>
      </c>
      <c r="J59" s="1"/>
      <c r="K59" s="1"/>
      <c r="L59" s="1"/>
      <c r="M59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4410-9D79-4D1A-B2F0-EA7FD0740579}">
  <sheetPr codeName="Ark33">
    <pageSetUpPr fitToPage="1"/>
  </sheetPr>
  <dimension ref="B2:J39"/>
  <sheetViews>
    <sheetView topLeftCell="A6" workbookViewId="0">
      <selection activeCell="E28" sqref="E28"/>
    </sheetView>
  </sheetViews>
  <sheetFormatPr baseColWidth="10" defaultRowHeight="12.75" x14ac:dyDescent="0.2"/>
  <sheetData>
    <row r="2" spans="2:9" ht="20.25" x14ac:dyDescent="0.3">
      <c r="B2" s="10" t="s">
        <v>22</v>
      </c>
    </row>
    <row r="4" spans="2:9" x14ac:dyDescent="0.2">
      <c r="B4" s="1" t="s">
        <v>0</v>
      </c>
      <c r="C4" s="1" t="s">
        <v>265</v>
      </c>
      <c r="F4" s="1" t="s">
        <v>19</v>
      </c>
      <c r="G4" s="12" t="s">
        <v>30</v>
      </c>
      <c r="H4" s="13"/>
    </row>
    <row r="5" spans="2:9" x14ac:dyDescent="0.2">
      <c r="B5" s="1"/>
      <c r="C5" s="4" t="s">
        <v>1</v>
      </c>
      <c r="F5" s="1"/>
      <c r="G5" s="12"/>
      <c r="H5" s="13"/>
    </row>
    <row r="6" spans="2:9" x14ac:dyDescent="0.2">
      <c r="B6" s="1"/>
      <c r="C6" s="4" t="s">
        <v>1</v>
      </c>
      <c r="F6" s="1"/>
      <c r="G6" s="12"/>
      <c r="H6" s="13"/>
    </row>
    <row r="7" spans="2:9" x14ac:dyDescent="0.2">
      <c r="B7" s="1"/>
      <c r="C7" s="4"/>
      <c r="F7" s="1"/>
      <c r="G7" s="12"/>
      <c r="H7" s="13"/>
    </row>
    <row r="8" spans="2:9" x14ac:dyDescent="0.2">
      <c r="B8" s="1"/>
      <c r="C8" s="4"/>
      <c r="F8" s="1"/>
      <c r="G8" s="12"/>
      <c r="H8" s="13"/>
    </row>
    <row r="9" spans="2:9" x14ac:dyDescent="0.2">
      <c r="B9" s="1" t="s">
        <v>18</v>
      </c>
      <c r="C9" s="4">
        <v>32739</v>
      </c>
      <c r="F9" s="1"/>
      <c r="G9" s="1"/>
      <c r="H9" s="13"/>
    </row>
    <row r="10" spans="2:9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9" x14ac:dyDescent="0.2">
      <c r="B11" s="1"/>
    </row>
    <row r="12" spans="2:9" x14ac:dyDescent="0.2">
      <c r="B12" s="8" t="s">
        <v>7</v>
      </c>
      <c r="F12" t="s">
        <v>1</v>
      </c>
    </row>
    <row r="13" spans="2:9" x14ac:dyDescent="0.2">
      <c r="B13" s="1" t="s">
        <v>8</v>
      </c>
      <c r="C13" s="4" t="s">
        <v>1</v>
      </c>
      <c r="F13" s="4" t="s">
        <v>267</v>
      </c>
      <c r="G13" s="49"/>
    </row>
    <row r="14" spans="2:9" x14ac:dyDescent="0.2">
      <c r="B14" s="1" t="s">
        <v>9</v>
      </c>
      <c r="C14" s="11" t="s">
        <v>1</v>
      </c>
    </row>
    <row r="15" spans="2:9" x14ac:dyDescent="0.2">
      <c r="B15" s="1"/>
      <c r="F15" t="s">
        <v>815</v>
      </c>
      <c r="G15" s="108" t="s">
        <v>816</v>
      </c>
    </row>
    <row r="16" spans="2:9" x14ac:dyDescent="0.2">
      <c r="B16" s="1" t="s">
        <v>16</v>
      </c>
      <c r="C16" s="11" t="s">
        <v>29</v>
      </c>
      <c r="F16" s="108" t="s">
        <v>799</v>
      </c>
      <c r="G16" s="108">
        <v>1180</v>
      </c>
      <c r="H16" t="s">
        <v>817</v>
      </c>
      <c r="I16">
        <v>27</v>
      </c>
    </row>
    <row r="17" spans="2:10" x14ac:dyDescent="0.2">
      <c r="B17" s="1"/>
    </row>
    <row r="18" spans="2:10" x14ac:dyDescent="0.2">
      <c r="B18" s="1"/>
      <c r="C18" s="13"/>
    </row>
    <row r="19" spans="2:10" x14ac:dyDescent="0.2">
      <c r="B19" s="1" t="s">
        <v>11</v>
      </c>
      <c r="C19" s="13" t="s">
        <v>39</v>
      </c>
      <c r="G19" s="54"/>
    </row>
    <row r="20" spans="2:10" x14ac:dyDescent="0.2">
      <c r="B20" s="1" t="s">
        <v>20</v>
      </c>
      <c r="C20" s="13" t="s">
        <v>1</v>
      </c>
    </row>
    <row r="21" spans="2:10" x14ac:dyDescent="0.2">
      <c r="B21" s="1"/>
      <c r="C21" s="13"/>
      <c r="G21" s="40"/>
    </row>
    <row r="22" spans="2:10" x14ac:dyDescent="0.2">
      <c r="B22" s="1"/>
      <c r="C22" s="13"/>
    </row>
    <row r="23" spans="2:10" x14ac:dyDescent="0.2">
      <c r="B23" s="1"/>
    </row>
    <row r="24" spans="2:10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10" x14ac:dyDescent="0.2">
      <c r="H25" s="17"/>
    </row>
    <row r="26" spans="2:10" x14ac:dyDescent="0.2">
      <c r="B26" s="49" t="s">
        <v>266</v>
      </c>
      <c r="E26">
        <v>1</v>
      </c>
      <c r="F26" s="17">
        <v>1180</v>
      </c>
      <c r="G26" s="18"/>
      <c r="H26" s="17">
        <f>E26*F26</f>
        <v>1180</v>
      </c>
      <c r="J26" s="4" t="s">
        <v>1</v>
      </c>
    </row>
    <row r="27" spans="2:10" x14ac:dyDescent="0.2">
      <c r="B27" t="s">
        <v>260</v>
      </c>
      <c r="E27">
        <v>17</v>
      </c>
      <c r="F27" s="17">
        <v>27</v>
      </c>
      <c r="G27" s="18"/>
      <c r="H27" s="17">
        <f>E27*F27</f>
        <v>459</v>
      </c>
    </row>
    <row r="28" spans="2:10" x14ac:dyDescent="0.2">
      <c r="F28" s="17"/>
      <c r="G28" s="18"/>
      <c r="H28" s="17"/>
    </row>
    <row r="29" spans="2:10" x14ac:dyDescent="0.2">
      <c r="F29" s="17"/>
      <c r="G29" s="18"/>
      <c r="H29" s="17"/>
    </row>
    <row r="30" spans="2:10" x14ac:dyDescent="0.2">
      <c r="F30" s="17"/>
      <c r="G30" s="18"/>
      <c r="H30" s="17"/>
    </row>
    <row r="31" spans="2:10" x14ac:dyDescent="0.2">
      <c r="B31" t="s">
        <v>1</v>
      </c>
      <c r="F31" s="17"/>
      <c r="G31" s="18"/>
      <c r="H31" s="17"/>
    </row>
    <row r="32" spans="2:10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1639</v>
      </c>
    </row>
  </sheetData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A148-E184-4053-B900-36DCF2577423}">
  <sheetPr codeName="Ark34">
    <pageSetUpPr fitToPage="1"/>
  </sheetPr>
  <dimension ref="B2:H38"/>
  <sheetViews>
    <sheetView topLeftCell="A6" workbookViewId="0">
      <selection activeCell="E27" sqref="E27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120</v>
      </c>
      <c r="F4" s="1" t="s">
        <v>19</v>
      </c>
      <c r="G4" s="12" t="s">
        <v>1</v>
      </c>
      <c r="H4" s="13"/>
    </row>
    <row r="5" spans="2:8" x14ac:dyDescent="0.2">
      <c r="B5" s="1" t="s">
        <v>18</v>
      </c>
      <c r="C5" s="4">
        <v>31643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40" t="s">
        <v>408</v>
      </c>
    </row>
    <row r="10" spans="2:8" x14ac:dyDescent="0.2">
      <c r="B10" s="1" t="s">
        <v>9</v>
      </c>
      <c r="C10" s="11" t="s">
        <v>1</v>
      </c>
      <c r="F10" s="54" t="s">
        <v>119</v>
      </c>
    </row>
    <row r="11" spans="2:8" x14ac:dyDescent="0.2">
      <c r="B11" s="1"/>
      <c r="F11" s="4" t="s">
        <v>1</v>
      </c>
    </row>
    <row r="12" spans="2:8" x14ac:dyDescent="0.2">
      <c r="B12" s="1" t="s">
        <v>16</v>
      </c>
      <c r="C12" s="11" t="s">
        <v>29</v>
      </c>
      <c r="E12">
        <v>2016</v>
      </c>
      <c r="F12" s="53" t="s">
        <v>213</v>
      </c>
    </row>
    <row r="13" spans="2:8" x14ac:dyDescent="0.2">
      <c r="B13" s="1"/>
      <c r="E13">
        <v>2017</v>
      </c>
      <c r="F13" s="4" t="s">
        <v>132</v>
      </c>
    </row>
    <row r="14" spans="2:8" x14ac:dyDescent="0.2">
      <c r="B14" s="1"/>
      <c r="C14" s="13"/>
      <c r="E14">
        <v>2018</v>
      </c>
      <c r="F14" s="4" t="s">
        <v>161</v>
      </c>
    </row>
    <row r="15" spans="2:8" x14ac:dyDescent="0.2">
      <c r="B15" s="1" t="s">
        <v>11</v>
      </c>
      <c r="C15" s="13" t="s">
        <v>39</v>
      </c>
      <c r="E15">
        <v>2019</v>
      </c>
      <c r="F15" s="4" t="s">
        <v>190</v>
      </c>
    </row>
    <row r="16" spans="2:8" x14ac:dyDescent="0.2">
      <c r="B16" s="1" t="s">
        <v>20</v>
      </c>
      <c r="C16" s="13" t="s">
        <v>1</v>
      </c>
      <c r="E16">
        <v>2020</v>
      </c>
      <c r="F16" s="4" t="s">
        <v>212</v>
      </c>
    </row>
    <row r="17" spans="2:8" x14ac:dyDescent="0.2">
      <c r="B17" s="1"/>
      <c r="C17" s="13"/>
      <c r="E17">
        <v>2021</v>
      </c>
      <c r="F17" s="4" t="s">
        <v>245</v>
      </c>
    </row>
    <row r="18" spans="2:8" x14ac:dyDescent="0.2">
      <c r="B18" s="1"/>
      <c r="C18" s="13"/>
      <c r="E18">
        <v>2022</v>
      </c>
      <c r="F18" s="4" t="s">
        <v>306</v>
      </c>
    </row>
    <row r="19" spans="2:8" x14ac:dyDescent="0.2">
      <c r="B19" s="1"/>
      <c r="C19" s="13"/>
      <c r="E19">
        <v>2023</v>
      </c>
      <c r="F19" s="4" t="s">
        <v>346</v>
      </c>
    </row>
    <row r="20" spans="2:8" x14ac:dyDescent="0.2">
      <c r="B20" s="1"/>
      <c r="C20" s="13"/>
      <c r="E20">
        <v>2024</v>
      </c>
      <c r="F20" s="4" t="s">
        <v>386</v>
      </c>
    </row>
    <row r="21" spans="2:8" x14ac:dyDescent="0.2">
      <c r="B21" s="1"/>
      <c r="C21" s="13"/>
      <c r="E21">
        <v>2025</v>
      </c>
      <c r="F21" s="4" t="s">
        <v>505</v>
      </c>
    </row>
    <row r="22" spans="2:8" x14ac:dyDescent="0.2">
      <c r="B22" s="1"/>
      <c r="E22">
        <v>2026</v>
      </c>
      <c r="F22" s="108" t="s">
        <v>797</v>
      </c>
    </row>
    <row r="23" spans="2:8" x14ac:dyDescent="0.2">
      <c r="B23" s="8" t="s">
        <v>15</v>
      </c>
      <c r="C23" s="2"/>
      <c r="E23" s="21" t="s">
        <v>12</v>
      </c>
      <c r="F23" s="21" t="s">
        <v>13</v>
      </c>
      <c r="G23" s="8"/>
      <c r="H23" s="16" t="s">
        <v>14</v>
      </c>
    </row>
    <row r="24" spans="2:8" x14ac:dyDescent="0.2">
      <c r="H24" s="17"/>
    </row>
    <row r="25" spans="2:8" x14ac:dyDescent="0.2">
      <c r="B25" s="20" t="s">
        <v>118</v>
      </c>
      <c r="D25" t="str">
        <f>Felles!C4</f>
        <v>August</v>
      </c>
      <c r="E25">
        <v>1</v>
      </c>
      <c r="F25" s="51">
        <v>860</v>
      </c>
      <c r="G25" s="18"/>
      <c r="H25" s="17">
        <f>E25*F25</f>
        <v>860</v>
      </c>
    </row>
    <row r="26" spans="2:8" x14ac:dyDescent="0.2">
      <c r="B26" t="s">
        <v>61</v>
      </c>
      <c r="E26">
        <v>0</v>
      </c>
      <c r="F26" s="51">
        <v>42</v>
      </c>
      <c r="G26" s="18"/>
      <c r="H26" s="17">
        <f>E26*F26</f>
        <v>0</v>
      </c>
    </row>
    <row r="27" spans="2:8" x14ac:dyDescent="0.2">
      <c r="F27" s="70" t="s">
        <v>1</v>
      </c>
      <c r="G27" s="18"/>
      <c r="H27" s="17"/>
    </row>
    <row r="28" spans="2:8" x14ac:dyDescent="0.2">
      <c r="F28" s="17"/>
      <c r="G28" s="18"/>
      <c r="H28" s="17"/>
    </row>
    <row r="29" spans="2:8" x14ac:dyDescent="0.2">
      <c r="F29" s="17"/>
      <c r="G29" s="18"/>
      <c r="H29" s="17"/>
    </row>
    <row r="30" spans="2:8" x14ac:dyDescent="0.2">
      <c r="B30" t="s">
        <v>1</v>
      </c>
      <c r="F30" s="17"/>
      <c r="G30" s="18"/>
      <c r="H30" s="17"/>
    </row>
    <row r="31" spans="2:8" x14ac:dyDescent="0.2">
      <c r="B31" s="8" t="s">
        <v>21</v>
      </c>
      <c r="C31" t="s">
        <v>1</v>
      </c>
      <c r="F31" s="17"/>
      <c r="G31" s="18"/>
      <c r="H31" s="17"/>
    </row>
    <row r="32" spans="2:8" x14ac:dyDescent="0.2">
      <c r="B32" s="11" t="s">
        <v>1</v>
      </c>
      <c r="C32" s="11"/>
      <c r="D32" s="11"/>
      <c r="E32" s="11" t="s">
        <v>1</v>
      </c>
      <c r="F32" s="22" t="s">
        <v>1</v>
      </c>
      <c r="G32" s="23"/>
      <c r="H32" s="17" t="s">
        <v>1</v>
      </c>
    </row>
    <row r="33" spans="2:8" x14ac:dyDescent="0.2">
      <c r="B33" s="11"/>
      <c r="C33" s="11"/>
      <c r="D33" s="11"/>
      <c r="E33" s="11"/>
      <c r="F33" s="22"/>
      <c r="G33" s="22"/>
      <c r="H33" s="17"/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F35" s="17"/>
      <c r="G35" s="17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ht="15.75" x14ac:dyDescent="0.25">
      <c r="B38" s="3" t="s">
        <v>23</v>
      </c>
      <c r="C38" s="3"/>
      <c r="D38" s="3"/>
      <c r="E38" s="3"/>
      <c r="F38" s="19"/>
      <c r="G38" s="19"/>
      <c r="H38" s="19">
        <f>SUM(H25:H37)</f>
        <v>860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8FF4-41F4-446C-B07B-67A52D902CB7}">
  <sheetPr codeName="Ark35">
    <pageSetUpPr fitToPage="1"/>
  </sheetPr>
  <dimension ref="B2:J35"/>
  <sheetViews>
    <sheetView workbookViewId="0">
      <selection activeCell="J29" sqref="J29"/>
    </sheetView>
  </sheetViews>
  <sheetFormatPr baseColWidth="10" defaultRowHeight="12.75" x14ac:dyDescent="0.2"/>
  <cols>
    <col min="1" max="1" width="8.57031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108" t="s">
        <v>261</v>
      </c>
      <c r="F4" s="1" t="s">
        <v>19</v>
      </c>
      <c r="G4" s="37" t="s">
        <v>30</v>
      </c>
      <c r="H4" s="13"/>
    </row>
    <row r="5" spans="2:8" x14ac:dyDescent="0.2">
      <c r="B5" s="1" t="s">
        <v>18</v>
      </c>
      <c r="C5" s="4">
        <v>32733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81" t="s">
        <v>264</v>
      </c>
    </row>
    <row r="10" spans="2:8" x14ac:dyDescent="0.2">
      <c r="B10" s="1" t="s">
        <v>9</v>
      </c>
      <c r="C10" s="82" t="s">
        <v>1</v>
      </c>
    </row>
    <row r="11" spans="2:8" x14ac:dyDescent="0.2">
      <c r="B11" s="1"/>
      <c r="C11" s="48"/>
      <c r="F11" t="s">
        <v>262</v>
      </c>
    </row>
    <row r="12" spans="2:8" x14ac:dyDescent="0.2">
      <c r="B12" s="1" t="s">
        <v>16</v>
      </c>
      <c r="C12" s="82" t="s">
        <v>29</v>
      </c>
      <c r="F12" s="4" t="s">
        <v>1</v>
      </c>
    </row>
    <row r="13" spans="2:8" x14ac:dyDescent="0.2">
      <c r="B13" s="1"/>
      <c r="C13" s="48"/>
      <c r="F13" t="s">
        <v>263</v>
      </c>
    </row>
    <row r="14" spans="2:8" x14ac:dyDescent="0.2">
      <c r="B14" s="1"/>
      <c r="C14" s="83"/>
      <c r="F14" t="s">
        <v>300</v>
      </c>
    </row>
    <row r="15" spans="2:8" x14ac:dyDescent="0.2">
      <c r="B15" s="1" t="s">
        <v>11</v>
      </c>
      <c r="C15" s="84" t="s">
        <v>45</v>
      </c>
      <c r="F15" t="s">
        <v>301</v>
      </c>
    </row>
    <row r="16" spans="2:8" x14ac:dyDescent="0.2">
      <c r="B16" s="1" t="s">
        <v>20</v>
      </c>
      <c r="C16" s="13" t="s">
        <v>1</v>
      </c>
    </row>
    <row r="17" spans="2:10" x14ac:dyDescent="0.2">
      <c r="B17" s="1"/>
      <c r="C17" s="13"/>
      <c r="F17" s="4" t="s">
        <v>384</v>
      </c>
      <c r="I17" t="s">
        <v>798</v>
      </c>
    </row>
    <row r="18" spans="2:10" x14ac:dyDescent="0.2">
      <c r="B18" s="1"/>
      <c r="C18" s="13"/>
      <c r="F18" s="4" t="s">
        <v>504</v>
      </c>
      <c r="G18">
        <v>2810</v>
      </c>
      <c r="I18" t="s">
        <v>799</v>
      </c>
      <c r="J18">
        <v>2900</v>
      </c>
    </row>
    <row r="19" spans="2:10" x14ac:dyDescent="0.2">
      <c r="B19" s="1"/>
    </row>
    <row r="20" spans="2:10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</row>
    <row r="21" spans="2:10" x14ac:dyDescent="0.2">
      <c r="H21" s="17"/>
    </row>
    <row r="22" spans="2:10" x14ac:dyDescent="0.2">
      <c r="B22" s="49" t="s">
        <v>299</v>
      </c>
      <c r="D22" t="str">
        <f>Felles!C4</f>
        <v>August</v>
      </c>
      <c r="E22">
        <v>1</v>
      </c>
      <c r="F22" s="17">
        <v>2900</v>
      </c>
      <c r="G22" s="18"/>
      <c r="H22" s="17">
        <f>E22*F22</f>
        <v>2900</v>
      </c>
    </row>
    <row r="23" spans="2:10" x14ac:dyDescent="0.2">
      <c r="B23" s="4" t="s">
        <v>333</v>
      </c>
      <c r="E23">
        <v>0</v>
      </c>
      <c r="F23" s="17">
        <v>18</v>
      </c>
      <c r="G23" s="18"/>
      <c r="H23" s="17">
        <f>E23*F23</f>
        <v>0</v>
      </c>
    </row>
    <row r="24" spans="2:10" x14ac:dyDescent="0.2">
      <c r="F24" s="17"/>
      <c r="G24" s="18"/>
      <c r="H24" s="17"/>
    </row>
    <row r="25" spans="2:10" x14ac:dyDescent="0.2">
      <c r="F25" s="17"/>
      <c r="G25" s="18"/>
      <c r="H25" s="17"/>
    </row>
    <row r="26" spans="2:10" x14ac:dyDescent="0.2">
      <c r="F26" s="70" t="s">
        <v>1</v>
      </c>
      <c r="G26" s="18"/>
      <c r="H26" s="17"/>
    </row>
    <row r="27" spans="2:10" x14ac:dyDescent="0.2">
      <c r="B27" t="s">
        <v>1</v>
      </c>
      <c r="F27" s="17"/>
      <c r="G27" s="18"/>
      <c r="H27" s="17"/>
    </row>
    <row r="28" spans="2:10" x14ac:dyDescent="0.2">
      <c r="B28" s="8" t="s">
        <v>21</v>
      </c>
      <c r="C28" t="s">
        <v>1</v>
      </c>
      <c r="F28" s="17"/>
      <c r="G28" s="18"/>
      <c r="H28" s="17"/>
    </row>
    <row r="29" spans="2:10" x14ac:dyDescent="0.2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</row>
    <row r="30" spans="2:10" x14ac:dyDescent="0.2">
      <c r="B30" s="11"/>
      <c r="C30" s="11"/>
      <c r="D30" s="11"/>
      <c r="E30" s="11"/>
      <c r="F30" s="22"/>
      <c r="G30" s="22"/>
      <c r="H30" s="17"/>
    </row>
    <row r="31" spans="2:10" x14ac:dyDescent="0.2">
      <c r="B31" s="11"/>
      <c r="C31" s="11"/>
      <c r="D31" s="11"/>
      <c r="E31" s="11"/>
      <c r="F31" s="22"/>
      <c r="G31" s="22"/>
      <c r="H31" s="17"/>
    </row>
    <row r="32" spans="2:10" x14ac:dyDescent="0.2">
      <c r="F32" s="17"/>
      <c r="G32" s="17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2900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DC0B-7942-429C-9543-2DE6E579014F}">
  <sheetPr codeName="Ark36">
    <pageSetUpPr fitToPage="1"/>
  </sheetPr>
  <dimension ref="B2:K35"/>
  <sheetViews>
    <sheetView workbookViewId="0">
      <selection activeCell="K33" sqref="K33"/>
    </sheetView>
  </sheetViews>
  <sheetFormatPr baseColWidth="10" defaultRowHeight="12.75" x14ac:dyDescent="0.2"/>
  <cols>
    <col min="1" max="1" width="5.5703125" customWidth="1"/>
    <col min="2" max="2" width="16.42578125" customWidth="1"/>
    <col min="4" max="4" width="15.85546875" customWidth="1"/>
    <col min="6" max="6" width="11.7109375" customWidth="1"/>
    <col min="7" max="7" width="9.5703125" customWidth="1"/>
  </cols>
  <sheetData>
    <row r="2" spans="2:11" ht="20.25" x14ac:dyDescent="0.3">
      <c r="B2" s="10" t="s">
        <v>22</v>
      </c>
    </row>
    <row r="4" spans="2:11" x14ac:dyDescent="0.2">
      <c r="B4" s="1" t="s">
        <v>0</v>
      </c>
      <c r="C4" s="4" t="s">
        <v>48</v>
      </c>
      <c r="F4" s="1" t="s">
        <v>19</v>
      </c>
      <c r="G4" s="37" t="s">
        <v>42</v>
      </c>
      <c r="H4" s="13"/>
    </row>
    <row r="5" spans="2:11" x14ac:dyDescent="0.2">
      <c r="B5" s="1" t="s">
        <v>18</v>
      </c>
      <c r="C5" s="4">
        <v>31299</v>
      </c>
      <c r="F5" s="1"/>
      <c r="G5" s="1"/>
      <c r="H5" s="13"/>
    </row>
    <row r="6" spans="2:11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11" x14ac:dyDescent="0.2">
      <c r="B7" s="1"/>
    </row>
    <row r="8" spans="2:11" x14ac:dyDescent="0.2">
      <c r="B8" s="8" t="s">
        <v>7</v>
      </c>
    </row>
    <row r="9" spans="2:11" x14ac:dyDescent="0.2">
      <c r="B9" s="1" t="s">
        <v>8</v>
      </c>
      <c r="C9" s="60" t="s">
        <v>73</v>
      </c>
    </row>
    <row r="10" spans="2:11" x14ac:dyDescent="0.2">
      <c r="B10" s="1" t="s">
        <v>9</v>
      </c>
      <c r="C10" s="11" t="s">
        <v>1</v>
      </c>
    </row>
    <row r="11" spans="2:11" x14ac:dyDescent="0.2">
      <c r="B11" s="1"/>
    </row>
    <row r="12" spans="2:11" x14ac:dyDescent="0.2">
      <c r="B12" s="1" t="s">
        <v>16</v>
      </c>
      <c r="C12" s="11" t="s">
        <v>43</v>
      </c>
      <c r="F12" s="4" t="s">
        <v>1</v>
      </c>
    </row>
    <row r="13" spans="2:11" x14ac:dyDescent="0.2">
      <c r="B13" s="1"/>
    </row>
    <row r="14" spans="2:11" x14ac:dyDescent="0.2">
      <c r="B14" s="1"/>
      <c r="C14" s="13"/>
    </row>
    <row r="15" spans="2:11" x14ac:dyDescent="0.2">
      <c r="B15" s="1" t="s">
        <v>11</v>
      </c>
      <c r="C15" s="35" t="s">
        <v>45</v>
      </c>
    </row>
    <row r="16" spans="2:11" x14ac:dyDescent="0.2">
      <c r="B16" s="1" t="s">
        <v>20</v>
      </c>
      <c r="C16" s="13" t="s">
        <v>1</v>
      </c>
      <c r="E16" s="158"/>
      <c r="F16" s="133" t="s">
        <v>871</v>
      </c>
      <c r="G16" s="133" t="s">
        <v>872</v>
      </c>
      <c r="H16" s="158"/>
      <c r="I16" s="158"/>
      <c r="J16" s="158"/>
      <c r="K16" s="158"/>
    </row>
    <row r="17" spans="2:11" x14ac:dyDescent="0.2">
      <c r="B17" s="1"/>
      <c r="C17" s="13"/>
      <c r="F17" s="108" t="s">
        <v>799</v>
      </c>
      <c r="G17" s="108" t="s">
        <v>847</v>
      </c>
    </row>
    <row r="18" spans="2:11" x14ac:dyDescent="0.2">
      <c r="B18" s="1"/>
      <c r="C18" s="13"/>
    </row>
    <row r="19" spans="2:11" x14ac:dyDescent="0.2">
      <c r="B19" s="1"/>
    </row>
    <row r="20" spans="2:11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</row>
    <row r="21" spans="2:11" x14ac:dyDescent="0.2">
      <c r="H21" s="17"/>
    </row>
    <row r="22" spans="2:11" x14ac:dyDescent="0.2">
      <c r="B22" s="49" t="s">
        <v>54</v>
      </c>
      <c r="D22" t="str">
        <f>Felles!C4</f>
        <v>August</v>
      </c>
      <c r="E22">
        <v>0</v>
      </c>
      <c r="F22" s="17"/>
      <c r="G22" s="18"/>
      <c r="H22" s="17"/>
    </row>
    <row r="23" spans="2:11" x14ac:dyDescent="0.2">
      <c r="B23" s="158" t="s">
        <v>873</v>
      </c>
      <c r="C23" s="158"/>
      <c r="D23" s="158"/>
      <c r="E23" s="188">
        <v>1</v>
      </c>
      <c r="F23" s="205">
        <v>2000</v>
      </c>
      <c r="G23" s="206"/>
      <c r="H23" s="205">
        <v>2000</v>
      </c>
    </row>
    <row r="24" spans="2:11" x14ac:dyDescent="0.2">
      <c r="B24" s="158" t="s">
        <v>453</v>
      </c>
      <c r="C24" s="158"/>
      <c r="D24" s="158"/>
      <c r="E24" s="158">
        <v>0</v>
      </c>
      <c r="F24" s="205">
        <v>40</v>
      </c>
      <c r="G24" s="206"/>
      <c r="H24" s="205">
        <v>0</v>
      </c>
      <c r="K24" t="s">
        <v>1</v>
      </c>
    </row>
    <row r="25" spans="2:11" x14ac:dyDescent="0.2">
      <c r="F25" s="17"/>
      <c r="G25" s="18"/>
      <c r="H25" s="17"/>
    </row>
    <row r="26" spans="2:11" x14ac:dyDescent="0.2">
      <c r="F26" s="17"/>
      <c r="G26" s="18"/>
      <c r="H26" s="17"/>
    </row>
    <row r="27" spans="2:11" x14ac:dyDescent="0.2">
      <c r="B27" t="s">
        <v>1</v>
      </c>
      <c r="F27" s="17"/>
      <c r="G27" s="18"/>
      <c r="H27" s="17"/>
    </row>
    <row r="28" spans="2:11" x14ac:dyDescent="0.2">
      <c r="B28" s="8" t="s">
        <v>21</v>
      </c>
      <c r="C28" t="s">
        <v>1</v>
      </c>
      <c r="F28" s="17"/>
      <c r="G28" s="18"/>
      <c r="H28" s="17"/>
    </row>
    <row r="29" spans="2:11" x14ac:dyDescent="0.2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</row>
    <row r="30" spans="2:11" x14ac:dyDescent="0.2">
      <c r="B30" s="11"/>
      <c r="C30" s="11"/>
      <c r="D30" s="11"/>
      <c r="E30" s="11"/>
      <c r="F30" s="22"/>
      <c r="G30" s="22"/>
      <c r="H30" s="17"/>
    </row>
    <row r="31" spans="2:11" x14ac:dyDescent="0.2">
      <c r="B31" s="11"/>
      <c r="C31" s="11"/>
      <c r="D31" s="11"/>
      <c r="E31" s="11"/>
      <c r="F31" s="22"/>
      <c r="G31" s="22"/>
      <c r="H31" s="17"/>
    </row>
    <row r="32" spans="2:11" x14ac:dyDescent="0.2">
      <c r="F32" s="17"/>
      <c r="G32" s="17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2000</v>
      </c>
    </row>
  </sheetData>
  <phoneticPr fontId="2" type="noConversion"/>
  <pageMargins left="0.75" right="0.75" top="1" bottom="1" header="0.5" footer="0.5"/>
  <pageSetup paperSize="9" scale="6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EE0D-B297-4B92-B77B-FC3DE42F7C20}">
  <sheetPr codeName="Ark37"/>
  <dimension ref="B2:O43"/>
  <sheetViews>
    <sheetView workbookViewId="0">
      <selection activeCell="E23" sqref="E23"/>
    </sheetView>
  </sheetViews>
  <sheetFormatPr baseColWidth="10" defaultRowHeight="12.75" x14ac:dyDescent="0.2"/>
  <cols>
    <col min="1" max="1" width="4.5703125" customWidth="1"/>
    <col min="6" max="6" width="15" customWidth="1"/>
  </cols>
  <sheetData>
    <row r="2" spans="2:15" x14ac:dyDescent="0.2">
      <c r="B2" s="1" t="s">
        <v>22</v>
      </c>
    </row>
    <row r="4" spans="2:15" x14ac:dyDescent="0.2">
      <c r="B4" t="s">
        <v>0</v>
      </c>
      <c r="C4" s="4" t="s">
        <v>110</v>
      </c>
      <c r="F4" t="s">
        <v>19</v>
      </c>
      <c r="G4" t="s">
        <v>30</v>
      </c>
    </row>
    <row r="5" spans="2:15" x14ac:dyDescent="0.2">
      <c r="B5" t="s">
        <v>18</v>
      </c>
      <c r="C5">
        <v>31961</v>
      </c>
      <c r="J5" s="78" t="s">
        <v>794</v>
      </c>
    </row>
    <row r="6" spans="2:15" x14ac:dyDescent="0.2">
      <c r="C6" t="s">
        <v>1</v>
      </c>
      <c r="F6" t="s">
        <v>10</v>
      </c>
      <c r="G6" s="15">
        <f>Felles!C2</f>
        <v>46265</v>
      </c>
    </row>
    <row r="7" spans="2:15" ht="15" x14ac:dyDescent="0.25">
      <c r="K7" s="86"/>
      <c r="L7" s="86"/>
      <c r="N7" s="86"/>
      <c r="O7" s="162">
        <v>2026</v>
      </c>
    </row>
    <row r="8" spans="2:15" ht="15" x14ac:dyDescent="0.25">
      <c r="B8" t="s">
        <v>7</v>
      </c>
      <c r="F8" s="4" t="s">
        <v>111</v>
      </c>
      <c r="J8" s="163" t="s">
        <v>785</v>
      </c>
      <c r="K8" s="163" t="s">
        <v>786</v>
      </c>
      <c r="L8" s="163"/>
      <c r="M8" s="164"/>
      <c r="N8" s="165"/>
      <c r="O8" s="166" t="s">
        <v>787</v>
      </c>
    </row>
    <row r="9" spans="2:15" ht="15" x14ac:dyDescent="0.25">
      <c r="B9" t="s">
        <v>8</v>
      </c>
      <c r="C9" s="4" t="s">
        <v>312</v>
      </c>
      <c r="J9" s="163"/>
      <c r="K9" s="163"/>
      <c r="L9" s="163"/>
      <c r="M9" s="164"/>
      <c r="N9" s="165"/>
      <c r="O9" s="166"/>
    </row>
    <row r="10" spans="2:15" ht="15" x14ac:dyDescent="0.25">
      <c r="B10" t="s">
        <v>9</v>
      </c>
      <c r="C10" t="s">
        <v>1</v>
      </c>
      <c r="F10" s="4" t="s">
        <v>37</v>
      </c>
      <c r="G10" s="4" t="s">
        <v>195</v>
      </c>
      <c r="J10" s="86">
        <v>1</v>
      </c>
      <c r="K10" s="86">
        <v>99</v>
      </c>
      <c r="L10" s="86"/>
      <c r="N10" s="167"/>
      <c r="O10" s="168">
        <v>2960</v>
      </c>
    </row>
    <row r="11" spans="2:15" ht="15" x14ac:dyDescent="0.25">
      <c r="J11">
        <v>100</v>
      </c>
      <c r="K11">
        <v>149</v>
      </c>
      <c r="N11" s="167"/>
      <c r="O11" s="168">
        <v>3580</v>
      </c>
    </row>
    <row r="12" spans="2:15" ht="15" x14ac:dyDescent="0.25">
      <c r="B12" t="s">
        <v>16</v>
      </c>
      <c r="C12" t="s">
        <v>29</v>
      </c>
      <c r="J12">
        <v>150</v>
      </c>
      <c r="K12">
        <v>199</v>
      </c>
      <c r="N12" s="167"/>
      <c r="O12" s="168">
        <v>4090</v>
      </c>
    </row>
    <row r="13" spans="2:15" ht="15" x14ac:dyDescent="0.25">
      <c r="F13" s="4" t="s">
        <v>1</v>
      </c>
      <c r="J13">
        <v>200</v>
      </c>
      <c r="K13">
        <v>249</v>
      </c>
      <c r="N13" s="167"/>
      <c r="O13" s="168">
        <v>4670</v>
      </c>
    </row>
    <row r="14" spans="2:15" ht="15" x14ac:dyDescent="0.25">
      <c r="J14">
        <v>250</v>
      </c>
      <c r="K14">
        <v>299</v>
      </c>
      <c r="L14" s="86"/>
      <c r="N14" s="167"/>
      <c r="O14" s="168">
        <v>5760</v>
      </c>
    </row>
    <row r="15" spans="2:15" ht="15" x14ac:dyDescent="0.25">
      <c r="B15" t="s">
        <v>11</v>
      </c>
      <c r="C15" t="s">
        <v>17</v>
      </c>
      <c r="J15">
        <v>300</v>
      </c>
      <c r="K15">
        <v>349</v>
      </c>
      <c r="N15" s="167"/>
      <c r="O15" s="168">
        <v>6830</v>
      </c>
    </row>
    <row r="16" spans="2:15" ht="15" x14ac:dyDescent="0.25">
      <c r="B16" t="s">
        <v>20</v>
      </c>
      <c r="C16" t="s">
        <v>24</v>
      </c>
      <c r="J16">
        <v>350</v>
      </c>
      <c r="K16">
        <v>399</v>
      </c>
      <c r="N16" s="167"/>
      <c r="O16" s="168">
        <v>7920</v>
      </c>
    </row>
    <row r="17" spans="2:15" ht="15" x14ac:dyDescent="0.25">
      <c r="J17">
        <v>400</v>
      </c>
      <c r="K17">
        <v>449</v>
      </c>
      <c r="N17" s="167"/>
      <c r="O17" s="168">
        <v>8980</v>
      </c>
    </row>
    <row r="18" spans="2:15" ht="15" x14ac:dyDescent="0.25">
      <c r="J18">
        <v>450</v>
      </c>
      <c r="K18">
        <v>499</v>
      </c>
      <c r="N18" s="167"/>
      <c r="O18" s="168">
        <v>10080</v>
      </c>
    </row>
    <row r="19" spans="2:15" ht="15" x14ac:dyDescent="0.25">
      <c r="J19">
        <v>500</v>
      </c>
      <c r="K19">
        <v>549</v>
      </c>
      <c r="N19" s="167"/>
      <c r="O19" s="168">
        <v>11150</v>
      </c>
    </row>
    <row r="20" spans="2:15" ht="15" x14ac:dyDescent="0.25">
      <c r="B20" t="s">
        <v>15</v>
      </c>
      <c r="E20" t="s">
        <v>12</v>
      </c>
      <c r="F20" t="s">
        <v>13</v>
      </c>
      <c r="H20" t="s">
        <v>14</v>
      </c>
      <c r="J20">
        <v>550</v>
      </c>
      <c r="K20">
        <v>599</v>
      </c>
      <c r="N20" s="167"/>
      <c r="O20" s="168">
        <v>12200</v>
      </c>
    </row>
    <row r="21" spans="2:15" ht="15" x14ac:dyDescent="0.25">
      <c r="J21">
        <v>600</v>
      </c>
      <c r="K21">
        <v>649</v>
      </c>
      <c r="N21" s="167"/>
      <c r="O21" s="168">
        <v>13260</v>
      </c>
    </row>
    <row r="22" spans="2:15" ht="15" x14ac:dyDescent="0.25">
      <c r="B22" s="49" t="s">
        <v>168</v>
      </c>
      <c r="E22">
        <v>1</v>
      </c>
      <c r="F22">
        <v>2960</v>
      </c>
      <c r="H22" s="4">
        <f>E22*F22</f>
        <v>2960</v>
      </c>
      <c r="J22">
        <v>650</v>
      </c>
      <c r="K22">
        <v>699</v>
      </c>
      <c r="N22" s="167"/>
      <c r="O22" s="168">
        <v>14360</v>
      </c>
    </row>
    <row r="23" spans="2:15" ht="15" x14ac:dyDescent="0.25">
      <c r="J23">
        <v>700</v>
      </c>
      <c r="K23">
        <v>749</v>
      </c>
      <c r="N23" s="167"/>
      <c r="O23" s="168">
        <v>15430</v>
      </c>
    </row>
    <row r="24" spans="2:15" ht="15" x14ac:dyDescent="0.25">
      <c r="B24" t="s">
        <v>1</v>
      </c>
      <c r="J24">
        <v>750</v>
      </c>
      <c r="K24">
        <v>799</v>
      </c>
      <c r="N24" s="167"/>
      <c r="O24" s="168">
        <v>16530</v>
      </c>
    </row>
    <row r="25" spans="2:15" ht="15" x14ac:dyDescent="0.25">
      <c r="J25">
        <v>800</v>
      </c>
      <c r="K25">
        <v>849</v>
      </c>
      <c r="N25" s="167"/>
      <c r="O25" s="168">
        <v>17590</v>
      </c>
    </row>
    <row r="26" spans="2:15" ht="15" x14ac:dyDescent="0.25">
      <c r="B26" t="s">
        <v>1</v>
      </c>
      <c r="J26">
        <v>850</v>
      </c>
      <c r="K26">
        <v>899</v>
      </c>
      <c r="N26" s="167"/>
      <c r="O26" s="168">
        <v>18680</v>
      </c>
    </row>
    <row r="27" spans="2:15" ht="15" x14ac:dyDescent="0.25">
      <c r="J27">
        <v>900</v>
      </c>
      <c r="K27">
        <v>949</v>
      </c>
      <c r="N27" s="167"/>
      <c r="O27" s="168">
        <v>19750</v>
      </c>
    </row>
    <row r="28" spans="2:15" ht="15" x14ac:dyDescent="0.25">
      <c r="J28">
        <v>950</v>
      </c>
      <c r="K28">
        <v>999</v>
      </c>
      <c r="N28" s="167"/>
      <c r="O28" s="168">
        <v>20820</v>
      </c>
    </row>
    <row r="29" spans="2:15" ht="15" x14ac:dyDescent="0.25">
      <c r="J29">
        <v>1000</v>
      </c>
      <c r="K29">
        <v>1099</v>
      </c>
      <c r="N29" s="167"/>
      <c r="O29" s="168">
        <v>23000</v>
      </c>
    </row>
    <row r="30" spans="2:15" ht="15" x14ac:dyDescent="0.25">
      <c r="J30">
        <v>1100</v>
      </c>
      <c r="K30">
        <v>1199</v>
      </c>
      <c r="N30" s="167"/>
      <c r="O30" s="168">
        <v>24100</v>
      </c>
    </row>
    <row r="31" spans="2:15" ht="15" x14ac:dyDescent="0.25">
      <c r="J31">
        <v>1200</v>
      </c>
      <c r="K31">
        <v>1299</v>
      </c>
      <c r="N31" s="167"/>
      <c r="O31" s="168">
        <v>26260</v>
      </c>
    </row>
    <row r="32" spans="2:15" ht="15" x14ac:dyDescent="0.25">
      <c r="J32">
        <v>1300</v>
      </c>
      <c r="K32">
        <v>1399</v>
      </c>
      <c r="N32" s="167"/>
      <c r="O32" s="168">
        <v>28400</v>
      </c>
    </row>
    <row r="33" spans="10:15" ht="15" x14ac:dyDescent="0.25">
      <c r="J33">
        <v>1400</v>
      </c>
      <c r="K33">
        <v>1499</v>
      </c>
      <c r="N33" s="167"/>
      <c r="O33" s="168">
        <v>30240</v>
      </c>
    </row>
    <row r="34" spans="10:15" ht="15" x14ac:dyDescent="0.25">
      <c r="J34">
        <v>1500</v>
      </c>
      <c r="K34">
        <v>1599</v>
      </c>
      <c r="N34" s="167"/>
      <c r="O34" s="168">
        <v>32710</v>
      </c>
    </row>
    <row r="35" spans="10:15" ht="15" x14ac:dyDescent="0.25">
      <c r="J35">
        <v>1600</v>
      </c>
      <c r="K35">
        <v>1699</v>
      </c>
      <c r="N35" s="167"/>
      <c r="O35" s="168">
        <v>34890</v>
      </c>
    </row>
    <row r="36" spans="10:15" ht="15" x14ac:dyDescent="0.25">
      <c r="J36">
        <v>1700</v>
      </c>
      <c r="K36">
        <v>1799</v>
      </c>
      <c r="N36" s="167"/>
      <c r="O36" s="168">
        <v>37060</v>
      </c>
    </row>
    <row r="37" spans="10:15" ht="15" x14ac:dyDescent="0.25">
      <c r="J37">
        <v>1800</v>
      </c>
      <c r="K37">
        <v>1899</v>
      </c>
      <c r="N37" s="167"/>
      <c r="O37" s="168">
        <v>39200</v>
      </c>
    </row>
    <row r="38" spans="10:15" ht="15" x14ac:dyDescent="0.25">
      <c r="J38">
        <v>1900</v>
      </c>
      <c r="K38">
        <v>1999</v>
      </c>
      <c r="N38" s="167"/>
      <c r="O38" s="168">
        <v>41380</v>
      </c>
    </row>
    <row r="39" spans="10:15" ht="15" x14ac:dyDescent="0.25">
      <c r="J39">
        <v>2000</v>
      </c>
      <c r="K39">
        <v>2099</v>
      </c>
      <c r="N39" s="167"/>
      <c r="O39" s="168">
        <v>43500</v>
      </c>
    </row>
    <row r="40" spans="10:15" ht="15" x14ac:dyDescent="0.25">
      <c r="J40">
        <v>2100</v>
      </c>
      <c r="K40">
        <v>2199</v>
      </c>
      <c r="N40" s="167"/>
      <c r="O40" s="168">
        <v>45650</v>
      </c>
    </row>
    <row r="41" spans="10:15" ht="15" x14ac:dyDescent="0.25">
      <c r="J41">
        <v>2200</v>
      </c>
      <c r="K41">
        <v>2299</v>
      </c>
      <c r="N41" s="167"/>
      <c r="O41" s="168">
        <v>47850</v>
      </c>
    </row>
    <row r="42" spans="10:15" ht="15" x14ac:dyDescent="0.25">
      <c r="J42">
        <v>2300</v>
      </c>
      <c r="K42">
        <v>2399</v>
      </c>
      <c r="N42" s="167"/>
      <c r="O42" s="168">
        <v>49980</v>
      </c>
    </row>
    <row r="43" spans="10:15" ht="15" x14ac:dyDescent="0.25">
      <c r="J43">
        <v>2400</v>
      </c>
      <c r="K43">
        <v>2499</v>
      </c>
      <c r="N43" s="167"/>
      <c r="O43" s="168">
        <v>52160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BA41-237E-48E1-939E-AB1F606CFF42}">
  <sheetPr codeName="Ark38">
    <tabColor rgb="FFFF0000"/>
    <pageSetUpPr fitToPage="1"/>
  </sheetPr>
  <dimension ref="B2:O58"/>
  <sheetViews>
    <sheetView workbookViewId="0">
      <selection activeCell="G28" sqref="G28"/>
    </sheetView>
  </sheetViews>
  <sheetFormatPr baseColWidth="10" defaultRowHeight="12.75" x14ac:dyDescent="0.2"/>
  <cols>
    <col min="1" max="1" width="4.42578125" customWidth="1"/>
    <col min="2" max="2" width="17.28515625" customWidth="1"/>
  </cols>
  <sheetData>
    <row r="2" spans="2:10" x14ac:dyDescent="0.2">
      <c r="B2" s="1" t="s">
        <v>22</v>
      </c>
    </row>
    <row r="4" spans="2:10" x14ac:dyDescent="0.2">
      <c r="B4" t="s">
        <v>0</v>
      </c>
      <c r="C4" s="4" t="s">
        <v>449</v>
      </c>
      <c r="F4" t="s">
        <v>19</v>
      </c>
      <c r="G4" t="s">
        <v>30</v>
      </c>
    </row>
    <row r="5" spans="2:10" x14ac:dyDescent="0.2">
      <c r="B5" t="s">
        <v>18</v>
      </c>
      <c r="C5">
        <v>32792</v>
      </c>
    </row>
    <row r="6" spans="2:10" x14ac:dyDescent="0.2">
      <c r="C6" t="s">
        <v>1</v>
      </c>
      <c r="F6" t="s">
        <v>10</v>
      </c>
      <c r="G6" s="15">
        <f>Felles!C2</f>
        <v>46265</v>
      </c>
    </row>
    <row r="7" spans="2:10" x14ac:dyDescent="0.2">
      <c r="G7" s="114" t="s">
        <v>523</v>
      </c>
      <c r="H7" s="114"/>
      <c r="I7" s="114"/>
      <c r="J7" s="114"/>
    </row>
    <row r="8" spans="2:10" x14ac:dyDescent="0.2">
      <c r="B8" t="s">
        <v>7</v>
      </c>
      <c r="F8" s="49" t="s">
        <v>270</v>
      </c>
    </row>
    <row r="9" spans="2:10" x14ac:dyDescent="0.2">
      <c r="B9" t="s">
        <v>8</v>
      </c>
      <c r="C9" s="4" t="s">
        <v>271</v>
      </c>
    </row>
    <row r="10" spans="2:10" x14ac:dyDescent="0.2">
      <c r="B10" t="s">
        <v>9</v>
      </c>
      <c r="C10" t="s">
        <v>1</v>
      </c>
      <c r="F10" s="4" t="s">
        <v>37</v>
      </c>
      <c r="G10" s="49" t="s">
        <v>195</v>
      </c>
    </row>
    <row r="12" spans="2:10" x14ac:dyDescent="0.2">
      <c r="B12" t="s">
        <v>16</v>
      </c>
      <c r="C12" t="s">
        <v>29</v>
      </c>
    </row>
    <row r="13" spans="2:10" x14ac:dyDescent="0.2">
      <c r="F13" s="4" t="s">
        <v>1</v>
      </c>
    </row>
    <row r="15" spans="2:10" x14ac:dyDescent="0.2">
      <c r="B15" t="s">
        <v>11</v>
      </c>
      <c r="C15" s="49" t="s">
        <v>272</v>
      </c>
    </row>
    <row r="16" spans="2:10" x14ac:dyDescent="0.2">
      <c r="B16" t="s">
        <v>20</v>
      </c>
      <c r="C16" t="s">
        <v>24</v>
      </c>
    </row>
    <row r="20" spans="2:15" x14ac:dyDescent="0.2">
      <c r="B20" t="s">
        <v>15</v>
      </c>
      <c r="E20" t="s">
        <v>12</v>
      </c>
      <c r="F20" t="s">
        <v>13</v>
      </c>
      <c r="H20" t="s">
        <v>14</v>
      </c>
      <c r="J20" s="40"/>
      <c r="K20" s="40"/>
      <c r="L20" s="40"/>
      <c r="M20" s="40"/>
      <c r="N20" s="40"/>
      <c r="O20" s="40"/>
    </row>
    <row r="21" spans="2:15" x14ac:dyDescent="0.2">
      <c r="J21" s="40"/>
      <c r="K21" s="40"/>
      <c r="L21" s="40"/>
      <c r="M21" s="40"/>
      <c r="N21" s="40"/>
      <c r="O21" s="40"/>
    </row>
    <row r="22" spans="2:15" x14ac:dyDescent="0.2">
      <c r="B22" s="49" t="s">
        <v>168</v>
      </c>
      <c r="D22" t="str">
        <f>Felles!C4</f>
        <v>August</v>
      </c>
      <c r="E22">
        <v>0</v>
      </c>
      <c r="F22">
        <v>2870</v>
      </c>
      <c r="H22" s="4">
        <f>E22*F22</f>
        <v>0</v>
      </c>
      <c r="J22" s="40"/>
      <c r="K22" s="40"/>
      <c r="L22" s="40"/>
      <c r="M22" s="40"/>
      <c r="N22" s="40"/>
      <c r="O22" s="40"/>
    </row>
    <row r="23" spans="2:15" x14ac:dyDescent="0.2">
      <c r="B23" s="4"/>
      <c r="H23" s="4"/>
      <c r="J23" s="40"/>
      <c r="K23" s="40"/>
      <c r="L23" s="40"/>
      <c r="M23" s="40"/>
      <c r="N23" s="40"/>
      <c r="O23" s="40"/>
    </row>
    <row r="24" spans="2:15" x14ac:dyDescent="0.2">
      <c r="B24" t="s">
        <v>1</v>
      </c>
      <c r="H24">
        <f>SUM(H22:H23)</f>
        <v>0</v>
      </c>
      <c r="J24" s="40"/>
      <c r="K24" s="40"/>
      <c r="L24" s="40"/>
      <c r="M24" s="40"/>
      <c r="N24" s="40"/>
      <c r="O24" s="40"/>
    </row>
    <row r="25" spans="2:15" x14ac:dyDescent="0.2">
      <c r="J25" s="40"/>
      <c r="K25" s="40"/>
      <c r="L25" s="40"/>
      <c r="M25" s="40"/>
      <c r="N25" s="40"/>
      <c r="O25" s="40"/>
    </row>
    <row r="26" spans="2:15" x14ac:dyDescent="0.2">
      <c r="J26" s="40"/>
      <c r="K26" s="40"/>
      <c r="L26" s="40"/>
      <c r="M26" s="40"/>
      <c r="N26" s="40"/>
      <c r="O26" s="40"/>
    </row>
    <row r="27" spans="2:15" x14ac:dyDescent="0.2">
      <c r="J27" s="40"/>
      <c r="K27" s="40"/>
      <c r="L27" s="40"/>
      <c r="M27" s="40"/>
      <c r="N27" s="40"/>
      <c r="O27" s="40"/>
    </row>
    <row r="28" spans="2:15" x14ac:dyDescent="0.2">
      <c r="J28" s="40"/>
      <c r="K28" s="40"/>
      <c r="L28" s="40"/>
      <c r="M28" s="40"/>
      <c r="N28" s="40"/>
      <c r="O28" s="40"/>
    </row>
    <row r="29" spans="2:15" x14ac:dyDescent="0.2">
      <c r="J29" s="40"/>
      <c r="K29" s="40"/>
      <c r="L29" s="40"/>
      <c r="M29" s="40"/>
      <c r="N29" s="40"/>
      <c r="O29" s="40"/>
    </row>
    <row r="30" spans="2:15" x14ac:dyDescent="0.2">
      <c r="J30" s="40"/>
      <c r="K30" s="40"/>
      <c r="L30" s="40"/>
      <c r="M30" s="40"/>
      <c r="N30" s="40"/>
      <c r="O30" s="40"/>
    </row>
    <row r="31" spans="2:15" x14ac:dyDescent="0.2">
      <c r="J31" s="40"/>
      <c r="K31" s="40"/>
      <c r="L31" s="40"/>
      <c r="M31" s="40"/>
      <c r="N31" s="40"/>
      <c r="O31" s="40"/>
    </row>
    <row r="32" spans="2:15" x14ac:dyDescent="0.2">
      <c r="J32" s="40"/>
      <c r="K32" s="40"/>
      <c r="L32" s="40"/>
      <c r="M32" s="40"/>
      <c r="N32" s="40"/>
      <c r="O32" s="40"/>
    </row>
    <row r="33" spans="10:15" x14ac:dyDescent="0.2">
      <c r="J33" s="40"/>
      <c r="K33" s="40"/>
      <c r="L33" s="40"/>
      <c r="M33" s="40"/>
      <c r="N33" s="40"/>
      <c r="O33" s="40"/>
    </row>
    <row r="34" spans="10:15" x14ac:dyDescent="0.2">
      <c r="J34" s="40"/>
      <c r="K34" s="40"/>
      <c r="L34" s="40"/>
      <c r="M34" s="40"/>
      <c r="N34" s="40"/>
      <c r="O34" s="40"/>
    </row>
    <row r="35" spans="10:15" x14ac:dyDescent="0.2">
      <c r="J35" s="40"/>
      <c r="K35" s="40"/>
      <c r="L35" s="40"/>
      <c r="M35" s="40"/>
      <c r="N35" s="40"/>
      <c r="O35" s="40"/>
    </row>
    <row r="36" spans="10:15" x14ac:dyDescent="0.2">
      <c r="J36" s="40"/>
      <c r="K36" s="40"/>
      <c r="L36" s="40"/>
      <c r="M36" s="40"/>
      <c r="N36" s="40"/>
      <c r="O36" s="40"/>
    </row>
    <row r="37" spans="10:15" x14ac:dyDescent="0.2">
      <c r="J37" s="40"/>
      <c r="K37" s="40"/>
      <c r="L37" s="40"/>
      <c r="M37" s="40"/>
      <c r="N37" s="40"/>
      <c r="O37" s="40"/>
    </row>
    <row r="38" spans="10:15" x14ac:dyDescent="0.2">
      <c r="J38" s="40"/>
      <c r="K38" s="40"/>
      <c r="L38" s="40"/>
      <c r="M38" s="40"/>
      <c r="N38" s="40"/>
      <c r="O38" s="40"/>
    </row>
    <row r="39" spans="10:15" x14ac:dyDescent="0.2">
      <c r="J39" s="40"/>
      <c r="K39" s="40"/>
      <c r="L39" s="40"/>
      <c r="M39" s="40"/>
      <c r="N39" s="40"/>
      <c r="O39" s="40"/>
    </row>
    <row r="40" spans="10:15" x14ac:dyDescent="0.2">
      <c r="J40" s="40"/>
      <c r="K40" s="40"/>
      <c r="L40" s="40"/>
      <c r="M40" s="40"/>
      <c r="N40" s="40"/>
      <c r="O40" s="40"/>
    </row>
    <row r="41" spans="10:15" x14ac:dyDescent="0.2">
      <c r="J41" s="40"/>
      <c r="K41" s="40"/>
      <c r="L41" s="40"/>
      <c r="M41" s="40"/>
      <c r="N41" s="40"/>
      <c r="O41" s="40"/>
    </row>
    <row r="42" spans="10:15" x14ac:dyDescent="0.2">
      <c r="J42" s="40"/>
      <c r="K42" s="40"/>
      <c r="L42" s="40"/>
      <c r="M42" s="40"/>
      <c r="N42" s="40"/>
      <c r="O42" s="40"/>
    </row>
    <row r="43" spans="10:15" x14ac:dyDescent="0.2">
      <c r="J43" s="40"/>
      <c r="K43" s="40"/>
      <c r="L43" s="40"/>
      <c r="M43" s="40"/>
      <c r="N43" s="40"/>
      <c r="O43" s="40"/>
    </row>
    <row r="44" spans="10:15" x14ac:dyDescent="0.2">
      <c r="J44" s="40"/>
      <c r="K44" s="40"/>
      <c r="L44" s="40"/>
      <c r="M44" s="40"/>
      <c r="N44" s="40"/>
      <c r="O44" s="40"/>
    </row>
    <row r="45" spans="10:15" x14ac:dyDescent="0.2">
      <c r="J45" s="40"/>
      <c r="K45" s="40"/>
      <c r="L45" s="40"/>
      <c r="M45" s="40"/>
      <c r="N45" s="40"/>
      <c r="O45" s="40"/>
    </row>
    <row r="46" spans="10:15" x14ac:dyDescent="0.2">
      <c r="J46" s="40"/>
      <c r="K46" s="40"/>
      <c r="L46" s="40"/>
      <c r="M46" s="40"/>
      <c r="N46" s="40"/>
      <c r="O46" s="40"/>
    </row>
    <row r="47" spans="10:15" x14ac:dyDescent="0.2">
      <c r="J47" s="40"/>
      <c r="K47" s="40"/>
      <c r="L47" s="40"/>
      <c r="M47" s="40"/>
      <c r="N47" s="40"/>
      <c r="O47" s="40"/>
    </row>
    <row r="48" spans="10:15" x14ac:dyDescent="0.2">
      <c r="J48" s="40"/>
      <c r="K48" s="40"/>
      <c r="L48" s="40"/>
      <c r="M48" s="40"/>
      <c r="N48" s="40"/>
      <c r="O48" s="40"/>
    </row>
    <row r="49" spans="10:15" x14ac:dyDescent="0.2">
      <c r="J49" s="40"/>
      <c r="K49" s="40"/>
      <c r="L49" s="40"/>
      <c r="M49" s="40"/>
      <c r="N49" s="40"/>
      <c r="O49" s="40"/>
    </row>
    <row r="50" spans="10:15" x14ac:dyDescent="0.2">
      <c r="J50" s="40"/>
      <c r="K50" s="40"/>
      <c r="L50" s="40"/>
      <c r="M50" s="40"/>
      <c r="N50" s="40"/>
      <c r="O50" s="40"/>
    </row>
    <row r="51" spans="10:15" x14ac:dyDescent="0.2">
      <c r="J51" s="40"/>
      <c r="K51" s="40"/>
      <c r="L51" s="40"/>
      <c r="M51" s="40"/>
      <c r="N51" s="40"/>
      <c r="O51" s="40"/>
    </row>
    <row r="52" spans="10:15" x14ac:dyDescent="0.2">
      <c r="J52" s="40"/>
      <c r="K52" s="40"/>
      <c r="L52" s="40"/>
      <c r="M52" s="40"/>
      <c r="N52" s="40"/>
      <c r="O52" s="40"/>
    </row>
    <row r="53" spans="10:15" x14ac:dyDescent="0.2">
      <c r="J53" s="40"/>
      <c r="K53" s="40"/>
      <c r="L53" s="40"/>
      <c r="M53" s="40"/>
      <c r="N53" s="40"/>
      <c r="O53" s="40"/>
    </row>
    <row r="54" spans="10:15" x14ac:dyDescent="0.2">
      <c r="J54" s="40"/>
      <c r="K54" s="40"/>
      <c r="L54" s="40"/>
      <c r="M54" s="40"/>
      <c r="N54" s="40"/>
      <c r="O54" s="40"/>
    </row>
    <row r="55" spans="10:15" x14ac:dyDescent="0.2">
      <c r="J55" s="40"/>
      <c r="K55" s="40"/>
      <c r="L55" s="40"/>
      <c r="M55" s="40"/>
      <c r="N55" s="40"/>
      <c r="O55" s="40"/>
    </row>
    <row r="56" spans="10:15" x14ac:dyDescent="0.2">
      <c r="J56" s="40"/>
      <c r="K56" s="40"/>
      <c r="L56" s="40"/>
      <c r="M56" s="40"/>
      <c r="N56" s="40"/>
      <c r="O56" s="40"/>
    </row>
    <row r="57" spans="10:15" x14ac:dyDescent="0.2">
      <c r="J57" s="40"/>
      <c r="K57" s="40"/>
      <c r="L57" s="40"/>
      <c r="M57" s="40"/>
      <c r="N57" s="40"/>
      <c r="O57" s="40"/>
    </row>
    <row r="58" spans="10:15" x14ac:dyDescent="0.2">
      <c r="J58" s="40"/>
      <c r="K58" s="40"/>
      <c r="L58" s="40"/>
      <c r="M58" s="40"/>
      <c r="N58" s="40"/>
      <c r="O58" s="40"/>
    </row>
  </sheetData>
  <phoneticPr fontId="29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20A8-1F67-4441-B672-73F3ACE673D8}">
  <sheetPr codeName="Ark19">
    <pageSetUpPr fitToPage="1"/>
  </sheetPr>
  <dimension ref="B2:K129"/>
  <sheetViews>
    <sheetView workbookViewId="0">
      <selection activeCell="F23" sqref="F23"/>
    </sheetView>
  </sheetViews>
  <sheetFormatPr baseColWidth="10" defaultRowHeight="12.75" x14ac:dyDescent="0.2"/>
  <cols>
    <col min="6" max="6" width="27.85546875" bestFit="1" customWidth="1"/>
    <col min="10" max="10" width="22.140625" bestFit="1" customWidth="1"/>
    <col min="11" max="11" width="10.140625" bestFit="1" customWidth="1"/>
  </cols>
  <sheetData>
    <row r="2" spans="2:11" x14ac:dyDescent="0.2">
      <c r="B2" s="1" t="s">
        <v>22</v>
      </c>
    </row>
    <row r="4" spans="2:11" x14ac:dyDescent="0.2">
      <c r="B4" t="s">
        <v>0</v>
      </c>
      <c r="C4" s="4" t="s">
        <v>420</v>
      </c>
      <c r="F4" t="s">
        <v>19</v>
      </c>
      <c r="G4" t="s">
        <v>30</v>
      </c>
    </row>
    <row r="5" spans="2:11" x14ac:dyDescent="0.2">
      <c r="B5" t="s">
        <v>18</v>
      </c>
      <c r="C5" t="s">
        <v>1</v>
      </c>
    </row>
    <row r="6" spans="2:11" ht="15" x14ac:dyDescent="0.25">
      <c r="C6" t="s">
        <v>1</v>
      </c>
      <c r="F6" t="s">
        <v>10</v>
      </c>
      <c r="G6" s="15">
        <f>Felles!C2</f>
        <v>46265</v>
      </c>
      <c r="J6" s="169" t="s">
        <v>660</v>
      </c>
      <c r="K6" s="169" t="s">
        <v>661</v>
      </c>
    </row>
    <row r="7" spans="2:11" x14ac:dyDescent="0.2">
      <c r="J7" s="170" t="s">
        <v>662</v>
      </c>
      <c r="K7" s="171">
        <v>1500</v>
      </c>
    </row>
    <row r="8" spans="2:11" x14ac:dyDescent="0.2">
      <c r="B8" t="s">
        <v>7</v>
      </c>
      <c r="F8" s="4" t="s">
        <v>148</v>
      </c>
      <c r="J8" s="172" t="s">
        <v>663</v>
      </c>
      <c r="K8" s="173">
        <v>2280</v>
      </c>
    </row>
    <row r="9" spans="2:11" x14ac:dyDescent="0.2">
      <c r="B9" t="s">
        <v>8</v>
      </c>
      <c r="C9" s="4" t="s">
        <v>1</v>
      </c>
      <c r="J9" s="170" t="s">
        <v>664</v>
      </c>
      <c r="K9" s="171">
        <v>2870</v>
      </c>
    </row>
    <row r="10" spans="2:11" x14ac:dyDescent="0.2">
      <c r="B10" t="s">
        <v>9</v>
      </c>
      <c r="C10" t="s">
        <v>1</v>
      </c>
      <c r="G10" s="4" t="s">
        <v>1</v>
      </c>
      <c r="H10" s="1" t="s">
        <v>800</v>
      </c>
      <c r="J10" s="172" t="s">
        <v>665</v>
      </c>
      <c r="K10" s="173">
        <v>3260</v>
      </c>
    </row>
    <row r="11" spans="2:11" x14ac:dyDescent="0.2">
      <c r="F11" s="4"/>
      <c r="J11" s="170" t="s">
        <v>666</v>
      </c>
      <c r="K11" s="171">
        <v>3450</v>
      </c>
    </row>
    <row r="12" spans="2:11" x14ac:dyDescent="0.2">
      <c r="B12" t="s">
        <v>16</v>
      </c>
      <c r="C12" t="s">
        <v>29</v>
      </c>
      <c r="F12" s="4"/>
      <c r="J12" s="172" t="s">
        <v>667</v>
      </c>
      <c r="K12" s="173">
        <v>3810</v>
      </c>
    </row>
    <row r="13" spans="2:11" x14ac:dyDescent="0.2">
      <c r="F13" s="4" t="s">
        <v>1</v>
      </c>
      <c r="J13" s="170" t="s">
        <v>668</v>
      </c>
      <c r="K13" s="171">
        <v>4020</v>
      </c>
    </row>
    <row r="14" spans="2:11" x14ac:dyDescent="0.2">
      <c r="F14" s="127" t="s">
        <v>491</v>
      </c>
      <c r="G14" s="113"/>
      <c r="H14" s="113"/>
      <c r="J14" s="172" t="s">
        <v>669</v>
      </c>
      <c r="K14" s="173">
        <v>4260</v>
      </c>
    </row>
    <row r="15" spans="2:11" x14ac:dyDescent="0.2">
      <c r="B15" t="s">
        <v>11</v>
      </c>
      <c r="C15" t="s">
        <v>17</v>
      </c>
      <c r="F15" s="127" t="s">
        <v>492</v>
      </c>
      <c r="G15" s="127" t="s">
        <v>493</v>
      </c>
      <c r="H15" s="113"/>
      <c r="J15" s="170" t="s">
        <v>670</v>
      </c>
      <c r="K15" s="171">
        <v>4490</v>
      </c>
    </row>
    <row r="16" spans="2:11" x14ac:dyDescent="0.2">
      <c r="B16" t="s">
        <v>20</v>
      </c>
      <c r="C16" t="s">
        <v>24</v>
      </c>
      <c r="F16" s="127" t="s">
        <v>494</v>
      </c>
      <c r="G16" s="127" t="s">
        <v>495</v>
      </c>
      <c r="H16" s="113"/>
      <c r="J16" s="172" t="s">
        <v>671</v>
      </c>
      <c r="K16" s="173">
        <v>4860</v>
      </c>
    </row>
    <row r="17" spans="2:11" x14ac:dyDescent="0.2">
      <c r="F17" s="127" t="s">
        <v>496</v>
      </c>
      <c r="G17" s="113"/>
      <c r="H17" s="113"/>
      <c r="J17" s="170" t="s">
        <v>672</v>
      </c>
      <c r="K17" s="171">
        <v>5280</v>
      </c>
    </row>
    <row r="18" spans="2:11" x14ac:dyDescent="0.2">
      <c r="J18" s="172" t="s">
        <v>673</v>
      </c>
      <c r="K18" s="173">
        <v>5690</v>
      </c>
    </row>
    <row r="19" spans="2:11" x14ac:dyDescent="0.2">
      <c r="J19" s="170" t="s">
        <v>674</v>
      </c>
      <c r="K19" s="171">
        <v>6100</v>
      </c>
    </row>
    <row r="20" spans="2:11" x14ac:dyDescent="0.2">
      <c r="B20" t="s">
        <v>15</v>
      </c>
      <c r="E20" t="s">
        <v>12</v>
      </c>
      <c r="F20" t="s">
        <v>13</v>
      </c>
      <c r="H20" t="s">
        <v>14</v>
      </c>
      <c r="J20" s="172" t="s">
        <v>675</v>
      </c>
      <c r="K20" s="173">
        <v>6520</v>
      </c>
    </row>
    <row r="21" spans="2:11" x14ac:dyDescent="0.2">
      <c r="J21" s="170" t="s">
        <v>676</v>
      </c>
      <c r="K21" s="171">
        <v>6940</v>
      </c>
    </row>
    <row r="22" spans="2:11" x14ac:dyDescent="0.2">
      <c r="B22" s="49" t="s">
        <v>168</v>
      </c>
      <c r="E22">
        <v>1</v>
      </c>
      <c r="F22">
        <v>6940</v>
      </c>
      <c r="H22" s="4">
        <f>E22*F22</f>
        <v>6940</v>
      </c>
      <c r="J22" s="172" t="s">
        <v>677</v>
      </c>
      <c r="K22" s="173">
        <v>7370</v>
      </c>
    </row>
    <row r="23" spans="2:11" x14ac:dyDescent="0.2">
      <c r="J23" s="170" t="s">
        <v>678</v>
      </c>
      <c r="K23" s="171">
        <v>7790</v>
      </c>
    </row>
    <row r="24" spans="2:11" x14ac:dyDescent="0.2">
      <c r="B24" t="s">
        <v>1</v>
      </c>
      <c r="J24" s="172" t="s">
        <v>679</v>
      </c>
      <c r="K24" s="173">
        <v>8200</v>
      </c>
    </row>
    <row r="25" spans="2:11" x14ac:dyDescent="0.2">
      <c r="B25" s="4"/>
      <c r="H25" s="4"/>
      <c r="J25" s="170" t="s">
        <v>680</v>
      </c>
      <c r="K25" s="171">
        <v>8610</v>
      </c>
    </row>
    <row r="26" spans="2:11" x14ac:dyDescent="0.2">
      <c r="J26" s="172" t="s">
        <v>681</v>
      </c>
      <c r="K26" s="173">
        <v>9020</v>
      </c>
    </row>
    <row r="27" spans="2:11" x14ac:dyDescent="0.2">
      <c r="B27" t="s">
        <v>191</v>
      </c>
      <c r="H27">
        <f>SUM(H22:H25)</f>
        <v>6940</v>
      </c>
      <c r="J27" s="170" t="s">
        <v>682</v>
      </c>
      <c r="K27" s="171">
        <v>9440</v>
      </c>
    </row>
    <row r="28" spans="2:11" x14ac:dyDescent="0.2">
      <c r="J28" s="172" t="s">
        <v>683</v>
      </c>
      <c r="K28" s="173">
        <v>9860</v>
      </c>
    </row>
    <row r="29" spans="2:11" x14ac:dyDescent="0.2">
      <c r="J29" s="170" t="s">
        <v>684</v>
      </c>
      <c r="K29" s="171">
        <v>10280</v>
      </c>
    </row>
    <row r="30" spans="2:11" x14ac:dyDescent="0.2">
      <c r="J30" s="172" t="s">
        <v>685</v>
      </c>
      <c r="K30" s="173">
        <v>10700</v>
      </c>
    </row>
    <row r="31" spans="2:11" x14ac:dyDescent="0.2">
      <c r="J31" s="170" t="s">
        <v>686</v>
      </c>
      <c r="K31" s="171">
        <v>11120</v>
      </c>
    </row>
    <row r="32" spans="2:11" x14ac:dyDescent="0.2">
      <c r="J32" s="172" t="s">
        <v>687</v>
      </c>
      <c r="K32" s="173">
        <v>11530</v>
      </c>
    </row>
    <row r="33" spans="10:11" x14ac:dyDescent="0.2">
      <c r="J33" s="170" t="s">
        <v>688</v>
      </c>
      <c r="K33" s="171">
        <v>11940</v>
      </c>
    </row>
    <row r="34" spans="10:11" x14ac:dyDescent="0.2">
      <c r="J34" s="172" t="s">
        <v>689</v>
      </c>
      <c r="K34" s="173">
        <v>12350</v>
      </c>
    </row>
    <row r="35" spans="10:11" x14ac:dyDescent="0.2">
      <c r="J35" s="170" t="s">
        <v>690</v>
      </c>
      <c r="K35" s="171">
        <v>12760</v>
      </c>
    </row>
    <row r="36" spans="10:11" x14ac:dyDescent="0.2">
      <c r="J36" s="172" t="s">
        <v>691</v>
      </c>
      <c r="K36" s="173">
        <v>13180</v>
      </c>
    </row>
    <row r="37" spans="10:11" x14ac:dyDescent="0.2">
      <c r="J37" s="170" t="s">
        <v>692</v>
      </c>
      <c r="K37" s="171">
        <v>13610</v>
      </c>
    </row>
    <row r="38" spans="10:11" x14ac:dyDescent="0.2">
      <c r="J38" s="172" t="s">
        <v>693</v>
      </c>
      <c r="K38" s="173">
        <v>14030</v>
      </c>
    </row>
    <row r="39" spans="10:11" x14ac:dyDescent="0.2">
      <c r="J39" s="170" t="s">
        <v>694</v>
      </c>
      <c r="K39" s="171">
        <v>14450</v>
      </c>
    </row>
    <row r="40" spans="10:11" x14ac:dyDescent="0.2">
      <c r="J40" s="172" t="s">
        <v>695</v>
      </c>
      <c r="K40" s="173">
        <v>14870</v>
      </c>
    </row>
    <row r="41" spans="10:11" x14ac:dyDescent="0.2">
      <c r="J41" s="170" t="s">
        <v>696</v>
      </c>
      <c r="K41" s="171">
        <v>15290</v>
      </c>
    </row>
    <row r="42" spans="10:11" x14ac:dyDescent="0.2">
      <c r="J42" s="172" t="s">
        <v>697</v>
      </c>
      <c r="K42" s="173">
        <v>15710</v>
      </c>
    </row>
    <row r="43" spans="10:11" x14ac:dyDescent="0.2">
      <c r="J43" s="170" t="s">
        <v>698</v>
      </c>
      <c r="K43" s="171">
        <v>16130</v>
      </c>
    </row>
    <row r="44" spans="10:11" x14ac:dyDescent="0.2">
      <c r="J44" s="172" t="s">
        <v>699</v>
      </c>
      <c r="K44" s="173">
        <v>16540</v>
      </c>
    </row>
    <row r="45" spans="10:11" x14ac:dyDescent="0.2">
      <c r="J45" s="170" t="s">
        <v>700</v>
      </c>
      <c r="K45" s="171">
        <v>16960</v>
      </c>
    </row>
    <row r="46" spans="10:11" x14ac:dyDescent="0.2">
      <c r="J46" s="172" t="s">
        <v>701</v>
      </c>
      <c r="K46" s="173">
        <v>17380</v>
      </c>
    </row>
    <row r="47" spans="10:11" x14ac:dyDescent="0.2">
      <c r="J47" s="170" t="s">
        <v>702</v>
      </c>
      <c r="K47" s="171">
        <v>17800</v>
      </c>
    </row>
    <row r="48" spans="10:11" x14ac:dyDescent="0.2">
      <c r="J48" s="172" t="s">
        <v>703</v>
      </c>
      <c r="K48" s="173">
        <v>18220</v>
      </c>
    </row>
    <row r="49" spans="10:11" x14ac:dyDescent="0.2">
      <c r="J49" s="170" t="s">
        <v>704</v>
      </c>
      <c r="K49" s="171">
        <v>18640</v>
      </c>
    </row>
    <row r="50" spans="10:11" x14ac:dyDescent="0.2">
      <c r="J50" s="172" t="s">
        <v>705</v>
      </c>
      <c r="K50" s="173">
        <v>19060</v>
      </c>
    </row>
    <row r="51" spans="10:11" x14ac:dyDescent="0.2">
      <c r="J51" s="170" t="s">
        <v>706</v>
      </c>
      <c r="K51" s="171">
        <v>19470</v>
      </c>
    </row>
    <row r="52" spans="10:11" x14ac:dyDescent="0.2">
      <c r="J52" s="172" t="s">
        <v>707</v>
      </c>
      <c r="K52" s="173">
        <v>19880</v>
      </c>
    </row>
    <row r="53" spans="10:11" x14ac:dyDescent="0.2">
      <c r="J53" s="170" t="s">
        <v>708</v>
      </c>
      <c r="K53" s="171">
        <v>20330</v>
      </c>
    </row>
    <row r="54" spans="10:11" x14ac:dyDescent="0.2">
      <c r="J54" s="172" t="s">
        <v>709</v>
      </c>
      <c r="K54" s="173">
        <v>20900</v>
      </c>
    </row>
    <row r="55" spans="10:11" x14ac:dyDescent="0.2">
      <c r="J55" s="170" t="s">
        <v>710</v>
      </c>
      <c r="K55" s="171">
        <v>21470</v>
      </c>
    </row>
    <row r="56" spans="10:11" x14ac:dyDescent="0.2">
      <c r="J56" s="172" t="s">
        <v>711</v>
      </c>
      <c r="K56" s="173">
        <v>22040</v>
      </c>
    </row>
    <row r="57" spans="10:11" x14ac:dyDescent="0.2">
      <c r="J57" s="170" t="s">
        <v>712</v>
      </c>
      <c r="K57" s="171">
        <v>22430</v>
      </c>
    </row>
    <row r="58" spans="10:11" x14ac:dyDescent="0.2">
      <c r="J58" s="172" t="s">
        <v>713</v>
      </c>
      <c r="K58" s="173">
        <v>22640</v>
      </c>
    </row>
    <row r="59" spans="10:11" x14ac:dyDescent="0.2">
      <c r="J59" s="170" t="s">
        <v>714</v>
      </c>
      <c r="K59" s="171">
        <v>22860</v>
      </c>
    </row>
    <row r="60" spans="10:11" x14ac:dyDescent="0.2">
      <c r="J60" s="172" t="s">
        <v>715</v>
      </c>
      <c r="K60" s="173">
        <v>23070</v>
      </c>
    </row>
    <row r="61" spans="10:11" x14ac:dyDescent="0.2">
      <c r="J61" s="170" t="s">
        <v>716</v>
      </c>
      <c r="K61" s="171">
        <v>23280</v>
      </c>
    </row>
    <row r="62" spans="10:11" x14ac:dyDescent="0.2">
      <c r="J62" s="172" t="s">
        <v>717</v>
      </c>
      <c r="K62" s="173">
        <v>23600</v>
      </c>
    </row>
    <row r="63" spans="10:11" x14ac:dyDescent="0.2">
      <c r="J63" s="170" t="s">
        <v>718</v>
      </c>
      <c r="K63" s="171">
        <v>24010</v>
      </c>
    </row>
    <row r="64" spans="10:11" x14ac:dyDescent="0.2">
      <c r="J64" s="172" t="s">
        <v>719</v>
      </c>
      <c r="K64" s="173">
        <v>24430</v>
      </c>
    </row>
    <row r="65" spans="10:11" x14ac:dyDescent="0.2">
      <c r="J65" s="170" t="s">
        <v>720</v>
      </c>
      <c r="K65" s="171">
        <v>24850</v>
      </c>
    </row>
    <row r="66" spans="10:11" x14ac:dyDescent="0.2">
      <c r="J66" s="172" t="s">
        <v>721</v>
      </c>
      <c r="K66" s="173">
        <v>25260</v>
      </c>
    </row>
    <row r="67" spans="10:11" x14ac:dyDescent="0.2">
      <c r="J67" s="170" t="s">
        <v>722</v>
      </c>
      <c r="K67" s="171">
        <v>25680</v>
      </c>
    </row>
    <row r="68" spans="10:11" x14ac:dyDescent="0.2">
      <c r="J68" s="172" t="s">
        <v>723</v>
      </c>
      <c r="K68" s="173">
        <v>26090</v>
      </c>
    </row>
    <row r="69" spans="10:11" x14ac:dyDescent="0.2">
      <c r="J69" s="170" t="s">
        <v>724</v>
      </c>
      <c r="K69" s="171">
        <v>26510</v>
      </c>
    </row>
    <row r="70" spans="10:11" x14ac:dyDescent="0.2">
      <c r="J70" s="172" t="s">
        <v>725</v>
      </c>
      <c r="K70" s="173">
        <v>26930</v>
      </c>
    </row>
    <row r="71" spans="10:11" x14ac:dyDescent="0.2">
      <c r="J71" s="170" t="s">
        <v>726</v>
      </c>
      <c r="K71" s="171">
        <v>27340</v>
      </c>
    </row>
    <row r="72" spans="10:11" x14ac:dyDescent="0.2">
      <c r="J72" s="172" t="s">
        <v>727</v>
      </c>
      <c r="K72" s="173">
        <v>27730</v>
      </c>
    </row>
    <row r="73" spans="10:11" x14ac:dyDescent="0.2">
      <c r="J73" s="170" t="s">
        <v>728</v>
      </c>
      <c r="K73" s="171">
        <v>28080</v>
      </c>
    </row>
    <row r="74" spans="10:11" x14ac:dyDescent="0.2">
      <c r="J74" s="172" t="s">
        <v>729</v>
      </c>
      <c r="K74" s="173">
        <v>28440</v>
      </c>
    </row>
    <row r="75" spans="10:11" x14ac:dyDescent="0.2">
      <c r="J75" s="170" t="s">
        <v>730</v>
      </c>
      <c r="K75" s="171">
        <v>28800</v>
      </c>
    </row>
    <row r="76" spans="10:11" x14ac:dyDescent="0.2">
      <c r="J76" s="172" t="s">
        <v>731</v>
      </c>
      <c r="K76" s="173">
        <v>29150</v>
      </c>
    </row>
    <row r="77" spans="10:11" x14ac:dyDescent="0.2">
      <c r="J77" s="170" t="s">
        <v>732</v>
      </c>
      <c r="K77" s="171">
        <v>29570</v>
      </c>
    </row>
    <row r="78" spans="10:11" x14ac:dyDescent="0.2">
      <c r="J78" s="172" t="s">
        <v>733</v>
      </c>
      <c r="K78" s="173">
        <v>30050</v>
      </c>
    </row>
    <row r="79" spans="10:11" x14ac:dyDescent="0.2">
      <c r="J79" s="170" t="s">
        <v>734</v>
      </c>
      <c r="K79" s="171">
        <v>30530</v>
      </c>
    </row>
    <row r="80" spans="10:11" x14ac:dyDescent="0.2">
      <c r="J80" s="172" t="s">
        <v>735</v>
      </c>
      <c r="K80" s="173">
        <v>31010</v>
      </c>
    </row>
    <row r="81" spans="10:11" x14ac:dyDescent="0.2">
      <c r="J81" s="170" t="s">
        <v>736</v>
      </c>
      <c r="K81" s="171">
        <v>31490</v>
      </c>
    </row>
    <row r="82" spans="10:11" x14ac:dyDescent="0.2">
      <c r="J82" s="172" t="s">
        <v>737</v>
      </c>
      <c r="K82" s="173">
        <v>31940</v>
      </c>
    </row>
    <row r="83" spans="10:11" x14ac:dyDescent="0.2">
      <c r="J83" s="170" t="s">
        <v>738</v>
      </c>
      <c r="K83" s="171">
        <v>32360</v>
      </c>
    </row>
    <row r="84" spans="10:11" x14ac:dyDescent="0.2">
      <c r="J84" s="172" t="s">
        <v>739</v>
      </c>
      <c r="K84" s="173">
        <v>32780</v>
      </c>
    </row>
    <row r="85" spans="10:11" x14ac:dyDescent="0.2">
      <c r="J85" s="170" t="s">
        <v>740</v>
      </c>
      <c r="K85" s="171">
        <v>33210</v>
      </c>
    </row>
    <row r="86" spans="10:11" x14ac:dyDescent="0.2">
      <c r="J86" s="172" t="s">
        <v>741</v>
      </c>
      <c r="K86" s="173">
        <v>33630</v>
      </c>
    </row>
    <row r="87" spans="10:11" x14ac:dyDescent="0.2">
      <c r="J87" s="170" t="s">
        <v>742</v>
      </c>
      <c r="K87" s="171">
        <v>34050</v>
      </c>
    </row>
    <row r="88" spans="10:11" x14ac:dyDescent="0.2">
      <c r="J88" s="172" t="s">
        <v>743</v>
      </c>
      <c r="K88" s="173">
        <v>34470</v>
      </c>
    </row>
    <row r="89" spans="10:11" x14ac:dyDescent="0.2">
      <c r="J89" s="170" t="s">
        <v>744</v>
      </c>
      <c r="K89" s="171">
        <v>34900</v>
      </c>
    </row>
    <row r="90" spans="10:11" x14ac:dyDescent="0.2">
      <c r="J90" s="172" t="s">
        <v>745</v>
      </c>
      <c r="K90" s="173">
        <v>35320</v>
      </c>
    </row>
    <row r="91" spans="10:11" x14ac:dyDescent="0.2">
      <c r="J91" s="170" t="s">
        <v>746</v>
      </c>
      <c r="K91" s="171">
        <v>35740</v>
      </c>
    </row>
    <row r="92" spans="10:11" x14ac:dyDescent="0.2">
      <c r="J92" s="172" t="s">
        <v>747</v>
      </c>
      <c r="K92" s="173">
        <v>36160</v>
      </c>
    </row>
    <row r="93" spans="10:11" x14ac:dyDescent="0.2">
      <c r="J93" s="170" t="s">
        <v>748</v>
      </c>
      <c r="K93" s="171">
        <v>36580</v>
      </c>
    </row>
    <row r="94" spans="10:11" x14ac:dyDescent="0.2">
      <c r="J94" s="172" t="s">
        <v>749</v>
      </c>
      <c r="K94" s="173">
        <v>37000</v>
      </c>
    </row>
    <row r="95" spans="10:11" x14ac:dyDescent="0.2">
      <c r="J95" s="170" t="s">
        <v>750</v>
      </c>
      <c r="K95" s="171">
        <v>37410</v>
      </c>
    </row>
    <row r="96" spans="10:11" x14ac:dyDescent="0.2">
      <c r="J96" s="172" t="s">
        <v>751</v>
      </c>
      <c r="K96" s="173">
        <v>37830</v>
      </c>
    </row>
    <row r="97" spans="10:11" x14ac:dyDescent="0.2">
      <c r="J97" s="170" t="s">
        <v>752</v>
      </c>
      <c r="K97" s="171">
        <v>38250</v>
      </c>
    </row>
    <row r="98" spans="10:11" x14ac:dyDescent="0.2">
      <c r="J98" s="172" t="s">
        <v>753</v>
      </c>
      <c r="K98" s="173">
        <v>38670</v>
      </c>
    </row>
    <row r="99" spans="10:11" x14ac:dyDescent="0.2">
      <c r="J99" s="170" t="s">
        <v>754</v>
      </c>
      <c r="K99" s="171">
        <v>39080</v>
      </c>
    </row>
    <row r="100" spans="10:11" x14ac:dyDescent="0.2">
      <c r="J100" s="172" t="s">
        <v>755</v>
      </c>
      <c r="K100" s="173">
        <v>39500</v>
      </c>
    </row>
    <row r="101" spans="10:11" x14ac:dyDescent="0.2">
      <c r="J101" s="170" t="s">
        <v>756</v>
      </c>
      <c r="K101" s="171">
        <v>39920</v>
      </c>
    </row>
    <row r="102" spans="10:11" x14ac:dyDescent="0.2">
      <c r="J102" s="172" t="s">
        <v>757</v>
      </c>
      <c r="K102" s="173">
        <v>40340</v>
      </c>
    </row>
    <row r="103" spans="10:11" x14ac:dyDescent="0.2">
      <c r="J103" s="170" t="s">
        <v>758</v>
      </c>
      <c r="K103" s="171">
        <v>40750</v>
      </c>
    </row>
    <row r="104" spans="10:11" x14ac:dyDescent="0.2">
      <c r="J104" s="172" t="s">
        <v>759</v>
      </c>
      <c r="K104" s="173">
        <v>41160</v>
      </c>
    </row>
    <row r="105" spans="10:11" x14ac:dyDescent="0.2">
      <c r="J105" s="170" t="s">
        <v>760</v>
      </c>
      <c r="K105" s="171">
        <v>41580</v>
      </c>
    </row>
    <row r="106" spans="10:11" x14ac:dyDescent="0.2">
      <c r="J106" s="172" t="s">
        <v>761</v>
      </c>
      <c r="K106" s="173">
        <v>41990</v>
      </c>
    </row>
    <row r="107" spans="10:11" x14ac:dyDescent="0.2">
      <c r="J107" s="170" t="s">
        <v>762</v>
      </c>
      <c r="K107" s="171">
        <v>42410</v>
      </c>
    </row>
    <row r="108" spans="10:11" x14ac:dyDescent="0.2">
      <c r="J108" s="172" t="s">
        <v>763</v>
      </c>
      <c r="K108" s="173">
        <v>42820</v>
      </c>
    </row>
    <row r="109" spans="10:11" x14ac:dyDescent="0.2">
      <c r="J109" s="170" t="s">
        <v>764</v>
      </c>
      <c r="K109" s="171">
        <v>43240</v>
      </c>
    </row>
    <row r="110" spans="10:11" x14ac:dyDescent="0.2">
      <c r="J110" s="172" t="s">
        <v>765</v>
      </c>
      <c r="K110" s="173">
        <v>43660</v>
      </c>
    </row>
    <row r="111" spans="10:11" x14ac:dyDescent="0.2">
      <c r="J111" s="170" t="s">
        <v>766</v>
      </c>
      <c r="K111" s="171">
        <v>44070</v>
      </c>
    </row>
    <row r="112" spans="10:11" x14ac:dyDescent="0.2">
      <c r="J112" s="172" t="s">
        <v>767</v>
      </c>
      <c r="K112" s="173">
        <v>44490</v>
      </c>
    </row>
    <row r="113" spans="10:11" x14ac:dyDescent="0.2">
      <c r="J113" s="170" t="s">
        <v>768</v>
      </c>
      <c r="K113" s="171">
        <v>44920</v>
      </c>
    </row>
    <row r="114" spans="10:11" x14ac:dyDescent="0.2">
      <c r="J114" s="172" t="s">
        <v>769</v>
      </c>
      <c r="K114" s="173">
        <v>45340</v>
      </c>
    </row>
    <row r="115" spans="10:11" x14ac:dyDescent="0.2">
      <c r="J115" s="170" t="s">
        <v>770</v>
      </c>
      <c r="K115" s="171">
        <v>45770</v>
      </c>
    </row>
    <row r="116" spans="10:11" x14ac:dyDescent="0.2">
      <c r="J116" s="172" t="s">
        <v>771</v>
      </c>
      <c r="K116" s="173">
        <v>46200</v>
      </c>
    </row>
    <row r="117" spans="10:11" x14ac:dyDescent="0.2">
      <c r="J117" s="170" t="s">
        <v>772</v>
      </c>
      <c r="K117" s="171">
        <v>46620</v>
      </c>
    </row>
    <row r="118" spans="10:11" x14ac:dyDescent="0.2">
      <c r="J118" s="172" t="s">
        <v>773</v>
      </c>
      <c r="K118" s="173">
        <v>47030</v>
      </c>
    </row>
    <row r="119" spans="10:11" x14ac:dyDescent="0.2">
      <c r="J119" s="170" t="s">
        <v>774</v>
      </c>
      <c r="K119" s="171">
        <v>47440</v>
      </c>
    </row>
    <row r="120" spans="10:11" x14ac:dyDescent="0.2">
      <c r="J120" s="172" t="s">
        <v>775</v>
      </c>
      <c r="K120" s="173">
        <v>47860</v>
      </c>
    </row>
    <row r="121" spans="10:11" x14ac:dyDescent="0.2">
      <c r="J121" s="170" t="s">
        <v>776</v>
      </c>
      <c r="K121" s="171">
        <v>48270</v>
      </c>
    </row>
    <row r="122" spans="10:11" x14ac:dyDescent="0.2">
      <c r="J122" s="172" t="s">
        <v>777</v>
      </c>
      <c r="K122" s="173">
        <v>48690</v>
      </c>
    </row>
    <row r="123" spans="10:11" x14ac:dyDescent="0.2">
      <c r="J123" s="170" t="s">
        <v>778</v>
      </c>
      <c r="K123" s="171">
        <v>49110</v>
      </c>
    </row>
    <row r="124" spans="10:11" x14ac:dyDescent="0.2">
      <c r="J124" s="172" t="s">
        <v>779</v>
      </c>
      <c r="K124" s="173">
        <v>49540</v>
      </c>
    </row>
    <row r="125" spans="10:11" x14ac:dyDescent="0.2">
      <c r="J125" s="170" t="s">
        <v>780</v>
      </c>
      <c r="K125" s="171">
        <v>49960</v>
      </c>
    </row>
    <row r="126" spans="10:11" x14ac:dyDescent="0.2">
      <c r="J126" s="172" t="s">
        <v>781</v>
      </c>
      <c r="K126" s="173">
        <v>50380</v>
      </c>
    </row>
    <row r="127" spans="10:11" x14ac:dyDescent="0.2">
      <c r="J127" s="170" t="s">
        <v>782</v>
      </c>
      <c r="K127" s="171">
        <v>50800</v>
      </c>
    </row>
    <row r="128" spans="10:11" x14ac:dyDescent="0.2">
      <c r="J128" s="172" t="s">
        <v>783</v>
      </c>
      <c r="K128" s="173">
        <v>51220</v>
      </c>
    </row>
    <row r="129" spans="10:11" x14ac:dyDescent="0.2">
      <c r="J129" s="170" t="s">
        <v>784</v>
      </c>
      <c r="K129" s="171">
        <v>51540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77F3-B67D-475B-9D69-296414E24D3F}">
  <sheetPr codeName="Ark39">
    <pageSetUpPr fitToPage="1"/>
  </sheetPr>
  <dimension ref="B2:H41"/>
  <sheetViews>
    <sheetView workbookViewId="0">
      <selection activeCell="E27" sqref="E27"/>
    </sheetView>
  </sheetViews>
  <sheetFormatPr baseColWidth="10" defaultRowHeight="12.75" x14ac:dyDescent="0.2"/>
  <cols>
    <col min="1" max="1" width="5.28515625" customWidth="1"/>
    <col min="2" max="2" width="30.28515625" customWidth="1"/>
    <col min="3" max="3" width="21.85546875" customWidth="1"/>
    <col min="4" max="4" width="4" customWidth="1"/>
    <col min="5" max="5" width="8.140625" customWidth="1"/>
    <col min="6" max="6" width="16.140625" customWidth="1"/>
    <col min="7" max="7" width="9.7109375" customWidth="1"/>
    <col min="8" max="8" width="15.285156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4" t="s">
        <v>40</v>
      </c>
      <c r="F4" s="1" t="s">
        <v>19</v>
      </c>
      <c r="G4" s="12" t="s">
        <v>30</v>
      </c>
      <c r="H4" s="13"/>
    </row>
    <row r="5" spans="2:8" x14ac:dyDescent="0.2">
      <c r="B5" s="1" t="s">
        <v>18</v>
      </c>
      <c r="C5" s="4">
        <v>31272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11" t="s">
        <v>41</v>
      </c>
    </row>
    <row r="10" spans="2:8" x14ac:dyDescent="0.2">
      <c r="B10" s="1" t="s">
        <v>9</v>
      </c>
      <c r="C10" s="11" t="s">
        <v>1</v>
      </c>
      <c r="F10" s="4" t="s">
        <v>146</v>
      </c>
    </row>
    <row r="11" spans="2:8" x14ac:dyDescent="0.2">
      <c r="B11" s="1"/>
      <c r="F11" t="s">
        <v>1</v>
      </c>
    </row>
    <row r="12" spans="2:8" x14ac:dyDescent="0.2">
      <c r="B12" s="1" t="s">
        <v>16</v>
      </c>
      <c r="C12" s="11" t="s">
        <v>29</v>
      </c>
      <c r="E12">
        <v>2016</v>
      </c>
      <c r="F12" s="4" t="s">
        <v>214</v>
      </c>
    </row>
    <row r="13" spans="2:8" x14ac:dyDescent="0.2">
      <c r="B13" s="1"/>
      <c r="E13">
        <v>2017</v>
      </c>
      <c r="F13" s="4" t="s">
        <v>215</v>
      </c>
    </row>
    <row r="14" spans="2:8" x14ac:dyDescent="0.2">
      <c r="B14" s="1"/>
      <c r="C14" s="13"/>
      <c r="E14">
        <v>2018</v>
      </c>
      <c r="F14" s="4" t="s">
        <v>246</v>
      </c>
    </row>
    <row r="15" spans="2:8" x14ac:dyDescent="0.2">
      <c r="B15" s="1" t="s">
        <v>11</v>
      </c>
      <c r="C15" s="13" t="s">
        <v>39</v>
      </c>
      <c r="E15">
        <v>2019</v>
      </c>
      <c r="F15" s="4" t="s">
        <v>307</v>
      </c>
    </row>
    <row r="16" spans="2:8" x14ac:dyDescent="0.2">
      <c r="B16" s="1" t="s">
        <v>20</v>
      </c>
      <c r="C16" s="13" t="s">
        <v>1</v>
      </c>
      <c r="E16">
        <v>2020</v>
      </c>
      <c r="F16" s="4" t="s">
        <v>375</v>
      </c>
    </row>
    <row r="17" spans="2:8" x14ac:dyDescent="0.2">
      <c r="B17" s="1"/>
      <c r="C17" s="13"/>
      <c r="E17">
        <v>2021</v>
      </c>
      <c r="F17" s="4" t="s">
        <v>376</v>
      </c>
    </row>
    <row r="18" spans="2:8" x14ac:dyDescent="0.2">
      <c r="B18" s="1"/>
      <c r="C18" s="13"/>
      <c r="E18">
        <v>2022</v>
      </c>
      <c r="F18" s="4" t="s">
        <v>383</v>
      </c>
    </row>
    <row r="19" spans="2:8" x14ac:dyDescent="0.2">
      <c r="B19" s="1"/>
      <c r="C19" s="13"/>
      <c r="E19">
        <v>2023</v>
      </c>
      <c r="F19" s="4" t="s">
        <v>402</v>
      </c>
    </row>
    <row r="20" spans="2:8" x14ac:dyDescent="0.2">
      <c r="B20" s="1"/>
      <c r="C20" s="13"/>
      <c r="E20">
        <v>2024</v>
      </c>
      <c r="F20" s="4" t="s">
        <v>416</v>
      </c>
    </row>
    <row r="21" spans="2:8" x14ac:dyDescent="0.2">
      <c r="B21" s="1"/>
      <c r="C21" s="13"/>
      <c r="E21">
        <v>2025</v>
      </c>
      <c r="F21" s="4" t="s">
        <v>506</v>
      </c>
    </row>
    <row r="22" spans="2:8" x14ac:dyDescent="0.2">
      <c r="B22" s="1"/>
      <c r="E22">
        <v>2026</v>
      </c>
      <c r="F22" s="108" t="s">
        <v>801</v>
      </c>
    </row>
    <row r="23" spans="2:8" x14ac:dyDescent="0.2">
      <c r="B23" s="8" t="s">
        <v>15</v>
      </c>
      <c r="C23" s="2"/>
      <c r="E23" s="21" t="s">
        <v>12</v>
      </c>
      <c r="F23" s="21" t="s">
        <v>13</v>
      </c>
      <c r="G23" s="8"/>
      <c r="H23" s="16" t="s">
        <v>14</v>
      </c>
    </row>
    <row r="24" spans="2:8" x14ac:dyDescent="0.2">
      <c r="H24" s="17"/>
    </row>
    <row r="25" spans="2:8" x14ac:dyDescent="0.2">
      <c r="B25" s="49" t="s">
        <v>49</v>
      </c>
      <c r="E25">
        <v>1</v>
      </c>
      <c r="F25" s="17">
        <v>860</v>
      </c>
      <c r="G25" s="18"/>
      <c r="H25" s="17">
        <f>E25*F25</f>
        <v>860</v>
      </c>
    </row>
    <row r="26" spans="2:8" x14ac:dyDescent="0.2">
      <c r="B26" s="49" t="s">
        <v>162</v>
      </c>
      <c r="E26">
        <v>6</v>
      </c>
      <c r="F26" s="17">
        <v>42</v>
      </c>
      <c r="G26" s="18"/>
      <c r="H26" s="17">
        <f>E26*F26</f>
        <v>252</v>
      </c>
    </row>
    <row r="27" spans="2:8" x14ac:dyDescent="0.2">
      <c r="F27" s="17"/>
      <c r="G27" s="18"/>
      <c r="H27" s="17"/>
    </row>
    <row r="28" spans="2:8" x14ac:dyDescent="0.2">
      <c r="B28" s="108" t="s">
        <v>559</v>
      </c>
      <c r="F28" s="17"/>
      <c r="G28" s="18"/>
      <c r="H28" s="17"/>
    </row>
    <row r="29" spans="2:8" x14ac:dyDescent="0.2">
      <c r="F29" s="17"/>
      <c r="G29" s="18"/>
      <c r="H29" s="17"/>
    </row>
    <row r="30" spans="2:8" x14ac:dyDescent="0.2">
      <c r="B30" t="s">
        <v>1</v>
      </c>
      <c r="F30" s="17"/>
      <c r="G30" s="18"/>
      <c r="H30" s="17"/>
    </row>
    <row r="31" spans="2:8" x14ac:dyDescent="0.2">
      <c r="B31" s="8" t="s">
        <v>21</v>
      </c>
      <c r="C31" t="s">
        <v>1</v>
      </c>
      <c r="F31" s="17"/>
      <c r="G31" s="18"/>
      <c r="H31" s="17"/>
    </row>
    <row r="32" spans="2:8" x14ac:dyDescent="0.2">
      <c r="B32" s="11" t="s">
        <v>1</v>
      </c>
      <c r="C32" s="11"/>
      <c r="D32" s="11"/>
      <c r="E32" s="11" t="s">
        <v>1</v>
      </c>
      <c r="F32" s="22" t="s">
        <v>1</v>
      </c>
      <c r="G32" s="23"/>
      <c r="H32" s="17" t="s">
        <v>1</v>
      </c>
    </row>
    <row r="33" spans="2:8" x14ac:dyDescent="0.2">
      <c r="B33" s="11"/>
      <c r="C33" s="11"/>
      <c r="D33" s="11"/>
      <c r="E33" s="11"/>
      <c r="F33" s="22"/>
      <c r="G33" s="22"/>
      <c r="H33" s="17"/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F35" s="17"/>
      <c r="G35" s="17"/>
      <c r="H35" s="17"/>
    </row>
    <row r="36" spans="2:8" x14ac:dyDescent="0.2">
      <c r="F36" s="17"/>
      <c r="G36" s="17"/>
      <c r="H36" s="174"/>
    </row>
    <row r="37" spans="2:8" x14ac:dyDescent="0.2">
      <c r="F37" s="17"/>
      <c r="G37" s="17"/>
      <c r="H37" s="17"/>
    </row>
    <row r="38" spans="2:8" ht="15.75" x14ac:dyDescent="0.25">
      <c r="B38" s="3" t="s">
        <v>23</v>
      </c>
      <c r="C38" s="3"/>
      <c r="D38" s="3"/>
      <c r="E38" s="3"/>
      <c r="F38" s="19"/>
      <c r="G38" s="19"/>
      <c r="H38" s="19">
        <f>SUM(H25:H37)</f>
        <v>1112</v>
      </c>
    </row>
    <row r="39" spans="2:8" x14ac:dyDescent="0.2">
      <c r="F39" s="17"/>
      <c r="G39" s="17"/>
    </row>
    <row r="41" spans="2:8" ht="33.75" x14ac:dyDescent="0.5">
      <c r="B41" s="29" t="s">
        <v>1</v>
      </c>
      <c r="F41" t="s">
        <v>1</v>
      </c>
    </row>
  </sheetData>
  <phoneticPr fontId="2" type="noConversion"/>
  <pageMargins left="0.75" right="0.75" top="1" bottom="1" header="0.5" footer="0.5"/>
  <pageSetup paperSize="9" scale="79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6403-797D-4C82-9FD7-70C3927CC507}">
  <sheetPr codeName="Ark40">
    <pageSetUpPr fitToPage="1"/>
  </sheetPr>
  <dimension ref="B2:O55"/>
  <sheetViews>
    <sheetView workbookViewId="0">
      <selection activeCell="H22" sqref="H22"/>
    </sheetView>
  </sheetViews>
  <sheetFormatPr baseColWidth="10" defaultRowHeight="12.75" x14ac:dyDescent="0.2"/>
  <cols>
    <col min="1" max="1" width="8.85546875" customWidth="1"/>
  </cols>
  <sheetData>
    <row r="2" spans="2:12" ht="20.25" x14ac:dyDescent="0.3">
      <c r="B2" s="10" t="s">
        <v>22</v>
      </c>
    </row>
    <row r="4" spans="2:12" x14ac:dyDescent="0.2">
      <c r="B4" s="1" t="s">
        <v>0</v>
      </c>
      <c r="C4" s="49" t="s">
        <v>138</v>
      </c>
      <c r="F4" s="1" t="s">
        <v>19</v>
      </c>
      <c r="G4" s="12" t="s">
        <v>30</v>
      </c>
      <c r="H4" s="13"/>
    </row>
    <row r="5" spans="2:12" x14ac:dyDescent="0.2">
      <c r="B5" s="1" t="s">
        <v>18</v>
      </c>
      <c r="C5" s="4" t="s">
        <v>1</v>
      </c>
      <c r="F5" s="1"/>
      <c r="G5" s="1"/>
      <c r="H5" s="13"/>
    </row>
    <row r="6" spans="2:12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12" x14ac:dyDescent="0.2">
      <c r="B7" s="1"/>
    </row>
    <row r="8" spans="2:12" x14ac:dyDescent="0.2">
      <c r="B8" s="8" t="s">
        <v>7</v>
      </c>
      <c r="F8" s="4" t="s">
        <v>135</v>
      </c>
    </row>
    <row r="9" spans="2:12" x14ac:dyDescent="0.2">
      <c r="B9" s="1" t="s">
        <v>8</v>
      </c>
      <c r="C9" s="11" t="s">
        <v>136</v>
      </c>
      <c r="F9" s="44" t="s">
        <v>1</v>
      </c>
    </row>
    <row r="10" spans="2:12" x14ac:dyDescent="0.2">
      <c r="B10" s="1" t="s">
        <v>9</v>
      </c>
      <c r="C10" s="11" t="s">
        <v>1</v>
      </c>
      <c r="F10" s="20" t="s">
        <v>143</v>
      </c>
    </row>
    <row r="11" spans="2:12" x14ac:dyDescent="0.2">
      <c r="B11" s="1"/>
    </row>
    <row r="12" spans="2:12" x14ac:dyDescent="0.2">
      <c r="B12" s="1" t="s">
        <v>16</v>
      </c>
      <c r="C12" s="11" t="s">
        <v>29</v>
      </c>
      <c r="F12" t="s">
        <v>137</v>
      </c>
      <c r="L12" t="s">
        <v>1</v>
      </c>
    </row>
    <row r="13" spans="2:12" x14ac:dyDescent="0.2">
      <c r="B13" s="1"/>
      <c r="F13" s="4" t="s">
        <v>1</v>
      </c>
    </row>
    <row r="14" spans="2:12" x14ac:dyDescent="0.2">
      <c r="B14" s="1"/>
      <c r="C14" s="13"/>
      <c r="F14" s="43" t="s">
        <v>145</v>
      </c>
    </row>
    <row r="15" spans="2:12" x14ac:dyDescent="0.2">
      <c r="B15" s="1" t="s">
        <v>11</v>
      </c>
      <c r="C15" s="13" t="s">
        <v>39</v>
      </c>
    </row>
    <row r="16" spans="2:12" ht="26.25" x14ac:dyDescent="0.4">
      <c r="B16" s="1" t="s">
        <v>20</v>
      </c>
      <c r="C16" s="13" t="s">
        <v>1</v>
      </c>
      <c r="F16" s="58" t="s">
        <v>237</v>
      </c>
    </row>
    <row r="17" spans="2:15" x14ac:dyDescent="0.2">
      <c r="B17" s="1"/>
      <c r="C17" s="13"/>
    </row>
    <row r="18" spans="2:15" x14ac:dyDescent="0.2">
      <c r="B18" s="1"/>
      <c r="C18" s="13"/>
    </row>
    <row r="19" spans="2:15" ht="15" x14ac:dyDescent="0.25">
      <c r="B19" s="1"/>
      <c r="K19" s="86"/>
      <c r="L19" s="86"/>
      <c r="N19" s="86"/>
      <c r="O19" s="162">
        <v>2026</v>
      </c>
    </row>
    <row r="20" spans="2:15" ht="15" x14ac:dyDescent="0.25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  <c r="J20" s="163" t="s">
        <v>785</v>
      </c>
      <c r="K20" s="163" t="s">
        <v>786</v>
      </c>
      <c r="L20" s="163"/>
      <c r="M20" s="164"/>
      <c r="N20" s="165"/>
      <c r="O20" s="166" t="s">
        <v>787</v>
      </c>
    </row>
    <row r="21" spans="2:15" ht="15" x14ac:dyDescent="0.25">
      <c r="H21" s="17"/>
      <c r="J21" s="163"/>
      <c r="K21" s="163"/>
      <c r="L21" s="163"/>
      <c r="M21" s="164"/>
      <c r="N21" s="165"/>
      <c r="O21" s="166"/>
    </row>
    <row r="22" spans="2:15" ht="15" x14ac:dyDescent="0.25">
      <c r="B22" s="49" t="s">
        <v>54</v>
      </c>
      <c r="E22" s="4">
        <v>1</v>
      </c>
      <c r="F22" s="79">
        <v>2960</v>
      </c>
      <c r="G22" s="18">
        <v>0.1</v>
      </c>
      <c r="H22" s="70">
        <f>F22*(1-G22)</f>
        <v>2664</v>
      </c>
      <c r="J22" s="86">
        <v>1</v>
      </c>
      <c r="K22" s="86">
        <v>99</v>
      </c>
      <c r="L22" s="86"/>
      <c r="N22" s="167"/>
      <c r="O22" s="168">
        <v>2960</v>
      </c>
    </row>
    <row r="23" spans="2:15" ht="15" x14ac:dyDescent="0.25">
      <c r="B23" t="s">
        <v>144</v>
      </c>
      <c r="E23" s="44"/>
      <c r="F23" s="17"/>
      <c r="G23" s="18"/>
      <c r="H23" s="17"/>
      <c r="J23">
        <v>100</v>
      </c>
      <c r="K23">
        <v>149</v>
      </c>
      <c r="N23" s="167"/>
      <c r="O23" s="168">
        <v>3580</v>
      </c>
    </row>
    <row r="24" spans="2:15" ht="15" x14ac:dyDescent="0.25">
      <c r="F24" s="17"/>
      <c r="G24" s="18"/>
      <c r="H24" s="17"/>
      <c r="J24">
        <v>150</v>
      </c>
      <c r="K24">
        <v>199</v>
      </c>
      <c r="N24" s="167"/>
      <c r="O24" s="168">
        <v>4090</v>
      </c>
    </row>
    <row r="25" spans="2:15" ht="15" x14ac:dyDescent="0.25">
      <c r="C25">
        <v>34</v>
      </c>
      <c r="E25" s="4" t="s">
        <v>1</v>
      </c>
      <c r="F25" s="17"/>
      <c r="G25" s="18"/>
      <c r="H25" s="17"/>
      <c r="J25">
        <v>200</v>
      </c>
      <c r="K25">
        <v>249</v>
      </c>
      <c r="N25" s="167"/>
      <c r="O25" s="168">
        <v>4670</v>
      </c>
    </row>
    <row r="26" spans="2:15" ht="15" x14ac:dyDescent="0.25">
      <c r="F26" s="17"/>
      <c r="G26" s="18"/>
      <c r="H26" s="17"/>
      <c r="J26">
        <v>250</v>
      </c>
      <c r="K26">
        <v>299</v>
      </c>
      <c r="L26" s="86"/>
      <c r="N26" s="167"/>
      <c r="O26" s="168">
        <v>5760</v>
      </c>
    </row>
    <row r="27" spans="2:15" ht="15" x14ac:dyDescent="0.25">
      <c r="B27" t="s">
        <v>1</v>
      </c>
      <c r="F27" s="17"/>
      <c r="G27" s="18"/>
      <c r="H27" s="17"/>
      <c r="J27">
        <v>300</v>
      </c>
      <c r="K27">
        <v>349</v>
      </c>
      <c r="N27" s="167"/>
      <c r="O27" s="168">
        <v>6830</v>
      </c>
    </row>
    <row r="28" spans="2:15" ht="15" x14ac:dyDescent="0.25">
      <c r="B28" s="8" t="s">
        <v>21</v>
      </c>
      <c r="C28" t="s">
        <v>1</v>
      </c>
      <c r="F28" s="17"/>
      <c r="G28" s="18"/>
      <c r="H28" s="17"/>
      <c r="J28">
        <v>350</v>
      </c>
      <c r="K28">
        <v>399</v>
      </c>
      <c r="N28" s="167"/>
      <c r="O28" s="168">
        <v>7920</v>
      </c>
    </row>
    <row r="29" spans="2:15" ht="15" x14ac:dyDescent="0.25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  <c r="J29">
        <v>400</v>
      </c>
      <c r="K29">
        <v>449</v>
      </c>
      <c r="N29" s="167"/>
      <c r="O29" s="168">
        <v>8980</v>
      </c>
    </row>
    <row r="30" spans="2:15" ht="15" x14ac:dyDescent="0.25">
      <c r="B30" s="11"/>
      <c r="C30" s="11"/>
      <c r="D30" s="11"/>
      <c r="E30" s="11"/>
      <c r="F30" s="22"/>
      <c r="G30" s="22"/>
      <c r="H30" s="17"/>
      <c r="J30">
        <v>450</v>
      </c>
      <c r="K30">
        <v>499</v>
      </c>
      <c r="N30" s="167"/>
      <c r="O30" s="168">
        <v>10080</v>
      </c>
    </row>
    <row r="31" spans="2:15" ht="15" x14ac:dyDescent="0.25">
      <c r="B31" s="11"/>
      <c r="C31" s="11"/>
      <c r="D31" s="11"/>
      <c r="E31" s="11"/>
      <c r="F31" s="22"/>
      <c r="G31" s="22"/>
      <c r="H31" s="17"/>
      <c r="J31">
        <v>500</v>
      </c>
      <c r="K31">
        <v>549</v>
      </c>
      <c r="N31" s="167"/>
      <c r="O31" s="168">
        <v>11150</v>
      </c>
    </row>
    <row r="32" spans="2:15" ht="15" x14ac:dyDescent="0.25">
      <c r="F32" s="17"/>
      <c r="G32" s="17"/>
      <c r="H32" s="17"/>
      <c r="J32">
        <v>550</v>
      </c>
      <c r="K32">
        <v>599</v>
      </c>
      <c r="N32" s="167"/>
      <c r="O32" s="168">
        <v>12200</v>
      </c>
    </row>
    <row r="33" spans="2:15" ht="15" x14ac:dyDescent="0.25">
      <c r="F33" s="17"/>
      <c r="G33" s="17"/>
      <c r="H33" s="17"/>
      <c r="J33">
        <v>600</v>
      </c>
      <c r="K33">
        <v>649</v>
      </c>
      <c r="N33" s="167"/>
      <c r="O33" s="168">
        <v>13260</v>
      </c>
    </row>
    <row r="34" spans="2:15" ht="15" x14ac:dyDescent="0.25">
      <c r="F34" s="17"/>
      <c r="G34" s="17"/>
      <c r="H34" s="17"/>
      <c r="J34">
        <v>650</v>
      </c>
      <c r="K34">
        <v>699</v>
      </c>
      <c r="N34" s="167"/>
      <c r="O34" s="168">
        <v>14360</v>
      </c>
    </row>
    <row r="35" spans="2:15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2664</v>
      </c>
      <c r="J35">
        <v>700</v>
      </c>
      <c r="K35">
        <v>749</v>
      </c>
      <c r="N35" s="167"/>
      <c r="O35" s="168">
        <v>15430</v>
      </c>
    </row>
    <row r="36" spans="2:15" ht="15" x14ac:dyDescent="0.25">
      <c r="J36">
        <v>750</v>
      </c>
      <c r="K36">
        <v>799</v>
      </c>
      <c r="N36" s="167"/>
      <c r="O36" s="168">
        <v>16530</v>
      </c>
    </row>
    <row r="37" spans="2:15" ht="15" x14ac:dyDescent="0.25">
      <c r="J37">
        <v>800</v>
      </c>
      <c r="K37">
        <v>849</v>
      </c>
      <c r="N37" s="167"/>
      <c r="O37" s="168">
        <v>17590</v>
      </c>
    </row>
    <row r="38" spans="2:15" ht="15" x14ac:dyDescent="0.25">
      <c r="J38">
        <v>850</v>
      </c>
      <c r="K38">
        <v>899</v>
      </c>
      <c r="N38" s="167"/>
      <c r="O38" s="168">
        <v>18680</v>
      </c>
    </row>
    <row r="39" spans="2:15" ht="15" x14ac:dyDescent="0.25">
      <c r="J39">
        <v>900</v>
      </c>
      <c r="K39">
        <v>949</v>
      </c>
      <c r="N39" s="167"/>
      <c r="O39" s="168">
        <v>19750</v>
      </c>
    </row>
    <row r="40" spans="2:15" ht="15" x14ac:dyDescent="0.25">
      <c r="J40">
        <v>950</v>
      </c>
      <c r="K40">
        <v>999</v>
      </c>
      <c r="N40" s="167"/>
      <c r="O40" s="168">
        <v>20820</v>
      </c>
    </row>
    <row r="41" spans="2:15" ht="15" x14ac:dyDescent="0.25">
      <c r="J41">
        <v>1000</v>
      </c>
      <c r="K41">
        <v>1099</v>
      </c>
      <c r="N41" s="167"/>
      <c r="O41" s="168">
        <v>23000</v>
      </c>
    </row>
    <row r="42" spans="2:15" ht="15" x14ac:dyDescent="0.25">
      <c r="J42">
        <v>1100</v>
      </c>
      <c r="K42">
        <v>1199</v>
      </c>
      <c r="N42" s="167"/>
      <c r="O42" s="168">
        <v>24100</v>
      </c>
    </row>
    <row r="43" spans="2:15" ht="15" x14ac:dyDescent="0.25">
      <c r="J43">
        <v>1200</v>
      </c>
      <c r="K43">
        <v>1299</v>
      </c>
      <c r="N43" s="167"/>
      <c r="O43" s="168">
        <v>26260</v>
      </c>
    </row>
    <row r="44" spans="2:15" ht="15" x14ac:dyDescent="0.25">
      <c r="J44">
        <v>1300</v>
      </c>
      <c r="K44">
        <v>1399</v>
      </c>
      <c r="N44" s="167"/>
      <c r="O44" s="168">
        <v>28400</v>
      </c>
    </row>
    <row r="45" spans="2:15" ht="15" x14ac:dyDescent="0.25">
      <c r="J45">
        <v>1400</v>
      </c>
      <c r="K45">
        <v>1499</v>
      </c>
      <c r="N45" s="167"/>
      <c r="O45" s="168">
        <v>30240</v>
      </c>
    </row>
    <row r="46" spans="2:15" ht="15" x14ac:dyDescent="0.25">
      <c r="J46">
        <v>1500</v>
      </c>
      <c r="K46">
        <v>1599</v>
      </c>
      <c r="N46" s="167"/>
      <c r="O46" s="168">
        <v>32710</v>
      </c>
    </row>
    <row r="47" spans="2:15" ht="15" x14ac:dyDescent="0.25">
      <c r="J47">
        <v>1600</v>
      </c>
      <c r="K47">
        <v>1699</v>
      </c>
      <c r="N47" s="167"/>
      <c r="O47" s="168">
        <v>34890</v>
      </c>
    </row>
    <row r="48" spans="2:15" ht="15" x14ac:dyDescent="0.25">
      <c r="J48">
        <v>1700</v>
      </c>
      <c r="K48">
        <v>1799</v>
      </c>
      <c r="N48" s="167"/>
      <c r="O48" s="168">
        <v>37060</v>
      </c>
    </row>
    <row r="49" spans="10:15" ht="15" x14ac:dyDescent="0.25">
      <c r="J49">
        <v>1800</v>
      </c>
      <c r="K49">
        <v>1899</v>
      </c>
      <c r="N49" s="167"/>
      <c r="O49" s="168">
        <v>39200</v>
      </c>
    </row>
    <row r="50" spans="10:15" ht="15" x14ac:dyDescent="0.25">
      <c r="J50">
        <v>1900</v>
      </c>
      <c r="K50">
        <v>1999</v>
      </c>
      <c r="N50" s="167"/>
      <c r="O50" s="168">
        <v>41380</v>
      </c>
    </row>
    <row r="51" spans="10:15" ht="15" x14ac:dyDescent="0.25">
      <c r="J51">
        <v>2000</v>
      </c>
      <c r="K51">
        <v>2099</v>
      </c>
      <c r="N51" s="167"/>
      <c r="O51" s="168">
        <v>43500</v>
      </c>
    </row>
    <row r="52" spans="10:15" ht="15" x14ac:dyDescent="0.25">
      <c r="J52">
        <v>2100</v>
      </c>
      <c r="K52">
        <v>2199</v>
      </c>
      <c r="N52" s="167"/>
      <c r="O52" s="168">
        <v>45650</v>
      </c>
    </row>
    <row r="53" spans="10:15" ht="15" x14ac:dyDescent="0.25">
      <c r="J53">
        <v>2200</v>
      </c>
      <c r="K53">
        <v>2299</v>
      </c>
      <c r="N53" s="167"/>
      <c r="O53" s="168">
        <v>47850</v>
      </c>
    </row>
    <row r="54" spans="10:15" ht="15" x14ac:dyDescent="0.25">
      <c r="J54">
        <v>2300</v>
      </c>
      <c r="K54">
        <v>2399</v>
      </c>
      <c r="N54" s="167"/>
      <c r="O54" s="168">
        <v>49980</v>
      </c>
    </row>
    <row r="55" spans="10:15" ht="15" x14ac:dyDescent="0.25">
      <c r="J55">
        <v>2400</v>
      </c>
      <c r="K55">
        <v>2499</v>
      </c>
      <c r="N55" s="167"/>
      <c r="O55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9BCB-0885-4B47-A049-A9789AFF493A}">
  <dimension ref="C2:J55"/>
  <sheetViews>
    <sheetView topLeftCell="A12" workbookViewId="0">
      <selection activeCell="L44" sqref="L44"/>
    </sheetView>
  </sheetViews>
  <sheetFormatPr baseColWidth="10" defaultRowHeight="12.75" x14ac:dyDescent="0.2"/>
  <cols>
    <col min="4" max="4" width="15.5703125" customWidth="1"/>
    <col min="6" max="6" width="23.7109375" customWidth="1"/>
  </cols>
  <sheetData>
    <row r="2" spans="3:9" ht="20.25" x14ac:dyDescent="0.3">
      <c r="C2" s="10" t="s">
        <v>22</v>
      </c>
    </row>
    <row r="4" spans="3:9" x14ac:dyDescent="0.2">
      <c r="C4" s="1" t="s">
        <v>0</v>
      </c>
      <c r="D4" s="53" t="s">
        <v>629</v>
      </c>
      <c r="G4" s="1" t="s">
        <v>19</v>
      </c>
      <c r="H4" s="12" t="s">
        <v>1</v>
      </c>
      <c r="I4" s="13"/>
    </row>
    <row r="5" spans="3:9" x14ac:dyDescent="0.2">
      <c r="C5" s="1" t="s">
        <v>642</v>
      </c>
      <c r="D5" s="4" t="s">
        <v>1</v>
      </c>
      <c r="G5" s="1"/>
      <c r="H5" s="12"/>
      <c r="I5" s="13"/>
    </row>
    <row r="6" spans="3:9" x14ac:dyDescent="0.2">
      <c r="C6">
        <v>33185</v>
      </c>
      <c r="D6" s="108" t="s">
        <v>636</v>
      </c>
      <c r="G6" s="1"/>
      <c r="H6" s="12"/>
      <c r="I6" s="13"/>
    </row>
    <row r="7" spans="3:9" x14ac:dyDescent="0.2">
      <c r="C7">
        <v>33188</v>
      </c>
      <c r="D7" s="108" t="s">
        <v>643</v>
      </c>
      <c r="G7" s="1"/>
      <c r="H7" s="12"/>
      <c r="I7" s="13"/>
    </row>
    <row r="8" spans="3:9" x14ac:dyDescent="0.2">
      <c r="C8">
        <v>33189</v>
      </c>
      <c r="D8" s="108" t="s">
        <v>638</v>
      </c>
      <c r="G8" s="1"/>
      <c r="H8" s="12"/>
      <c r="I8" s="13"/>
    </row>
    <row r="9" spans="3:9" x14ac:dyDescent="0.2">
      <c r="C9">
        <v>33190</v>
      </c>
      <c r="D9" s="48" t="s">
        <v>639</v>
      </c>
      <c r="G9" s="1"/>
      <c r="H9" s="1"/>
      <c r="I9" s="13"/>
    </row>
    <row r="10" spans="3:9" x14ac:dyDescent="0.2">
      <c r="C10">
        <v>33191</v>
      </c>
      <c r="D10" s="24" t="s">
        <v>640</v>
      </c>
      <c r="G10" s="1" t="s">
        <v>10</v>
      </c>
      <c r="H10" s="15">
        <v>45962</v>
      </c>
      <c r="I10" s="13"/>
    </row>
    <row r="11" spans="3:9" x14ac:dyDescent="0.2">
      <c r="C11" s="1"/>
    </row>
    <row r="12" spans="3:9" x14ac:dyDescent="0.2">
      <c r="C12" s="8" t="s">
        <v>7</v>
      </c>
      <c r="G12" s="49" t="s">
        <v>91</v>
      </c>
      <c r="H12" s="61">
        <v>45962</v>
      </c>
    </row>
    <row r="13" spans="3:9" x14ac:dyDescent="0.2">
      <c r="C13" s="1" t="s">
        <v>8</v>
      </c>
      <c r="D13" s="108" t="s">
        <v>630</v>
      </c>
      <c r="G13" t="s">
        <v>1</v>
      </c>
    </row>
    <row r="14" spans="3:9" x14ac:dyDescent="0.2">
      <c r="C14" s="1" t="s">
        <v>9</v>
      </c>
      <c r="D14" s="11"/>
      <c r="G14" t="s">
        <v>1</v>
      </c>
      <c r="H14" t="s">
        <v>648</v>
      </c>
    </row>
    <row r="15" spans="3:9" x14ac:dyDescent="0.2">
      <c r="C15" s="1"/>
      <c r="G15" s="20"/>
    </row>
    <row r="16" spans="3:9" x14ac:dyDescent="0.2">
      <c r="C16" s="1" t="s">
        <v>16</v>
      </c>
      <c r="D16" s="11" t="s">
        <v>29</v>
      </c>
      <c r="G16" s="69"/>
      <c r="H16" s="32" t="s">
        <v>631</v>
      </c>
    </row>
    <row r="17" spans="3:9" x14ac:dyDescent="0.2">
      <c r="C17" s="1"/>
    </row>
    <row r="18" spans="3:9" x14ac:dyDescent="0.2">
      <c r="C18" s="1"/>
      <c r="D18" s="13"/>
      <c r="G18" s="4"/>
    </row>
    <row r="19" spans="3:9" x14ac:dyDescent="0.2">
      <c r="C19" s="1" t="s">
        <v>11</v>
      </c>
      <c r="D19" s="13" t="s">
        <v>39</v>
      </c>
      <c r="G19" s="49" t="s">
        <v>195</v>
      </c>
    </row>
    <row r="20" spans="3:9" x14ac:dyDescent="0.2">
      <c r="C20" s="1" t="s">
        <v>20</v>
      </c>
      <c r="D20" s="13" t="s">
        <v>1</v>
      </c>
    </row>
    <row r="21" spans="3:9" x14ac:dyDescent="0.2">
      <c r="C21" s="1"/>
      <c r="D21" s="13"/>
      <c r="G21" s="108" t="s">
        <v>818</v>
      </c>
    </row>
    <row r="22" spans="3:9" x14ac:dyDescent="0.2">
      <c r="C22" s="1"/>
      <c r="D22" s="13"/>
      <c r="G22" t="s">
        <v>545</v>
      </c>
    </row>
    <row r="23" spans="3:9" x14ac:dyDescent="0.2">
      <c r="C23" s="1"/>
      <c r="D23" s="13"/>
    </row>
    <row r="24" spans="3:9" x14ac:dyDescent="0.2">
      <c r="C24" s="1"/>
      <c r="D24" s="13"/>
    </row>
    <row r="25" spans="3:9" x14ac:dyDescent="0.2">
      <c r="C25" s="1"/>
      <c r="D25" s="13"/>
    </row>
    <row r="26" spans="3:9" x14ac:dyDescent="0.2">
      <c r="C26" s="1"/>
    </row>
    <row r="27" spans="3:9" x14ac:dyDescent="0.2">
      <c r="C27" s="8" t="s">
        <v>15</v>
      </c>
      <c r="D27" s="2"/>
      <c r="F27" s="21" t="s">
        <v>12</v>
      </c>
      <c r="G27" s="21" t="s">
        <v>13</v>
      </c>
      <c r="H27" s="8"/>
      <c r="I27" s="16" t="s">
        <v>14</v>
      </c>
    </row>
    <row r="28" spans="3:9" x14ac:dyDescent="0.2">
      <c r="I28" s="17"/>
    </row>
    <row r="29" spans="3:9" x14ac:dyDescent="0.2">
      <c r="C29" s="208" t="s">
        <v>632</v>
      </c>
      <c r="D29" s="208"/>
      <c r="I29" s="17"/>
    </row>
    <row r="30" spans="3:9" x14ac:dyDescent="0.2">
      <c r="C30" s="156" t="s">
        <v>636</v>
      </c>
      <c r="D30" s="156"/>
      <c r="F30" t="s">
        <v>649</v>
      </c>
      <c r="G30">
        <v>1</v>
      </c>
      <c r="I30" s="17">
        <v>199</v>
      </c>
    </row>
    <row r="31" spans="3:9" x14ac:dyDescent="0.2">
      <c r="C31" s="108" t="s">
        <v>636</v>
      </c>
      <c r="F31">
        <v>1</v>
      </c>
      <c r="G31" s="45">
        <v>3260</v>
      </c>
      <c r="H31" s="18"/>
      <c r="I31" s="45">
        <v>3260</v>
      </c>
    </row>
    <row r="32" spans="3:9" x14ac:dyDescent="0.2">
      <c r="C32" s="108" t="s">
        <v>637</v>
      </c>
      <c r="F32" t="s">
        <v>649</v>
      </c>
      <c r="G32" s="45">
        <v>1</v>
      </c>
      <c r="H32" s="18"/>
      <c r="I32" s="45">
        <v>199</v>
      </c>
    </row>
    <row r="33" spans="3:10" x14ac:dyDescent="0.2">
      <c r="C33" s="150" t="s">
        <v>637</v>
      </c>
      <c r="F33">
        <v>1</v>
      </c>
      <c r="G33" s="45">
        <v>2280</v>
      </c>
      <c r="H33" s="18"/>
      <c r="I33" s="45">
        <v>2280</v>
      </c>
    </row>
    <row r="34" spans="3:10" x14ac:dyDescent="0.2">
      <c r="C34" s="150" t="s">
        <v>638</v>
      </c>
      <c r="F34" t="s">
        <v>649</v>
      </c>
      <c r="G34" s="45">
        <v>1</v>
      </c>
      <c r="H34" s="18"/>
      <c r="I34" s="45">
        <v>199</v>
      </c>
    </row>
    <row r="35" spans="3:10" x14ac:dyDescent="0.2">
      <c r="C35" s="108" t="s">
        <v>638</v>
      </c>
      <c r="D35" s="1"/>
      <c r="E35" s="1"/>
      <c r="F35" s="108">
        <v>1</v>
      </c>
      <c r="G35" s="155">
        <v>2280</v>
      </c>
      <c r="H35" s="108"/>
      <c r="I35" s="155">
        <v>2280</v>
      </c>
      <c r="J35" s="108"/>
    </row>
    <row r="36" spans="3:10" x14ac:dyDescent="0.2">
      <c r="C36" s="108" t="s">
        <v>639</v>
      </c>
      <c r="D36" s="1"/>
      <c r="E36" s="1"/>
      <c r="F36" s="108" t="s">
        <v>649</v>
      </c>
      <c r="G36" s="155">
        <v>1</v>
      </c>
      <c r="H36" s="108"/>
      <c r="I36" s="155">
        <v>199</v>
      </c>
      <c r="J36" s="108"/>
    </row>
    <row r="37" spans="3:10" x14ac:dyDescent="0.2">
      <c r="C37" s="108" t="s">
        <v>639</v>
      </c>
      <c r="F37">
        <v>1</v>
      </c>
      <c r="G37" s="45">
        <v>2280</v>
      </c>
      <c r="I37" s="45">
        <v>2280</v>
      </c>
    </row>
    <row r="38" spans="3:10" x14ac:dyDescent="0.2">
      <c r="C38" s="108" t="s">
        <v>640</v>
      </c>
      <c r="F38" t="s">
        <v>649</v>
      </c>
      <c r="G38" s="45">
        <v>1</v>
      </c>
      <c r="I38" s="45">
        <v>199</v>
      </c>
    </row>
    <row r="39" spans="3:10" x14ac:dyDescent="0.2">
      <c r="C39" s="108" t="s">
        <v>640</v>
      </c>
      <c r="F39">
        <v>1</v>
      </c>
      <c r="G39" s="45">
        <v>1500</v>
      </c>
      <c r="I39" s="45">
        <v>1500</v>
      </c>
    </row>
    <row r="40" spans="3:10" x14ac:dyDescent="0.2">
      <c r="C40" s="108"/>
      <c r="G40" s="45"/>
      <c r="I40" s="45"/>
    </row>
    <row r="41" spans="3:10" x14ac:dyDescent="0.2">
      <c r="C41" s="108"/>
      <c r="F41" s="1" t="s">
        <v>191</v>
      </c>
      <c r="G41" s="157"/>
      <c r="H41" s="1"/>
      <c r="I41" s="157">
        <f>SUM(I30:I40)</f>
        <v>12595</v>
      </c>
    </row>
    <row r="42" spans="3:10" x14ac:dyDescent="0.2">
      <c r="C42" s="108"/>
      <c r="G42" s="45"/>
      <c r="I42" s="45"/>
    </row>
    <row r="43" spans="3:10" x14ac:dyDescent="0.2">
      <c r="C43" s="1" t="s">
        <v>641</v>
      </c>
    </row>
    <row r="44" spans="3:10" x14ac:dyDescent="0.2">
      <c r="C44" s="1"/>
      <c r="D44" s="108" t="s">
        <v>633</v>
      </c>
      <c r="E44" s="108" t="s">
        <v>619</v>
      </c>
      <c r="I44" s="17"/>
    </row>
    <row r="45" spans="3:10" x14ac:dyDescent="0.2">
      <c r="D45" s="108" t="s">
        <v>650</v>
      </c>
      <c r="E45">
        <v>1500</v>
      </c>
    </row>
    <row r="46" spans="3:10" x14ac:dyDescent="0.2">
      <c r="D46" s="108" t="s">
        <v>621</v>
      </c>
      <c r="E46">
        <v>2280</v>
      </c>
    </row>
    <row r="47" spans="3:10" x14ac:dyDescent="0.2">
      <c r="D47" s="108" t="s">
        <v>622</v>
      </c>
      <c r="E47">
        <v>2870</v>
      </c>
    </row>
    <row r="48" spans="3:10" x14ac:dyDescent="0.2">
      <c r="D48" s="108" t="s">
        <v>623</v>
      </c>
      <c r="E48">
        <v>3260</v>
      </c>
    </row>
    <row r="49" spans="4:5" x14ac:dyDescent="0.2">
      <c r="D49" s="108" t="s">
        <v>624</v>
      </c>
      <c r="E49">
        <v>3450</v>
      </c>
    </row>
    <row r="50" spans="4:5" x14ac:dyDescent="0.2">
      <c r="D50" s="108" t="s">
        <v>625</v>
      </c>
      <c r="E50">
        <v>3810</v>
      </c>
    </row>
    <row r="51" spans="4:5" x14ac:dyDescent="0.2">
      <c r="D51" s="108" t="s">
        <v>626</v>
      </c>
      <c r="E51">
        <v>4020</v>
      </c>
    </row>
    <row r="52" spans="4:5" x14ac:dyDescent="0.2">
      <c r="D52" s="108" t="s">
        <v>634</v>
      </c>
      <c r="E52">
        <v>4260</v>
      </c>
    </row>
    <row r="53" spans="4:5" x14ac:dyDescent="0.2">
      <c r="D53" s="108" t="s">
        <v>627</v>
      </c>
      <c r="E53">
        <v>4490</v>
      </c>
    </row>
    <row r="54" spans="4:5" x14ac:dyDescent="0.2">
      <c r="D54" s="108" t="s">
        <v>628</v>
      </c>
      <c r="E54">
        <v>4860</v>
      </c>
    </row>
    <row r="55" spans="4:5" x14ac:dyDescent="0.2">
      <c r="D55" s="108" t="s">
        <v>635</v>
      </c>
      <c r="E55">
        <v>5280</v>
      </c>
    </row>
  </sheetData>
  <mergeCells count="1">
    <mergeCell ref="C29:D29"/>
  </mergeCells>
  <hyperlinks>
    <hyperlink ref="H16" r:id="rId1" xr:uid="{99509EDF-BB08-479E-980B-46AF9803313D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C403-8F2F-4E3B-A1BB-A0D82CCEE693}">
  <sheetPr codeName="Ark43">
    <pageSetUpPr fitToPage="1"/>
  </sheetPr>
  <dimension ref="B2:O59"/>
  <sheetViews>
    <sheetView workbookViewId="0">
      <selection activeCell="D26" sqref="D26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194</v>
      </c>
      <c r="F4" s="1" t="s">
        <v>19</v>
      </c>
      <c r="G4" s="12" t="s">
        <v>29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 t="s">
        <v>46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1</v>
      </c>
      <c r="G12" s="40" t="s">
        <v>1</v>
      </c>
    </row>
    <row r="13" spans="2:8" x14ac:dyDescent="0.2">
      <c r="B13" s="1" t="s">
        <v>8</v>
      </c>
      <c r="C13" s="4" t="s">
        <v>202</v>
      </c>
      <c r="F13" t="s">
        <v>115</v>
      </c>
      <c r="G13" s="31">
        <v>42522</v>
      </c>
    </row>
    <row r="14" spans="2:8" x14ac:dyDescent="0.2">
      <c r="B14" s="1" t="s">
        <v>9</v>
      </c>
      <c r="C14" s="112" t="s">
        <v>591</v>
      </c>
      <c r="D14" s="113"/>
      <c r="G14" s="4" t="s">
        <v>1</v>
      </c>
    </row>
    <row r="15" spans="2:8" x14ac:dyDescent="0.2">
      <c r="B15" s="1"/>
      <c r="F15" t="s">
        <v>37</v>
      </c>
      <c r="G15" s="20" t="s">
        <v>195</v>
      </c>
    </row>
    <row r="16" spans="2:8" x14ac:dyDescent="0.2">
      <c r="B16" s="1" t="s">
        <v>16</v>
      </c>
      <c r="C16" s="11" t="s">
        <v>29</v>
      </c>
    </row>
    <row r="17" spans="2:15" x14ac:dyDescent="0.2">
      <c r="B17" s="1"/>
      <c r="F17" t="s">
        <v>230</v>
      </c>
    </row>
    <row r="18" spans="2:15" x14ac:dyDescent="0.2">
      <c r="B18" s="1"/>
      <c r="C18" s="13"/>
    </row>
    <row r="19" spans="2:15" x14ac:dyDescent="0.2">
      <c r="B19" s="1" t="s">
        <v>11</v>
      </c>
      <c r="C19" s="13" t="s">
        <v>39</v>
      </c>
    </row>
    <row r="20" spans="2:15" x14ac:dyDescent="0.2">
      <c r="B20" s="1" t="s">
        <v>20</v>
      </c>
      <c r="C20" s="13" t="s">
        <v>1</v>
      </c>
    </row>
    <row r="21" spans="2:15" x14ac:dyDescent="0.2">
      <c r="B21" s="1"/>
      <c r="C21" s="13"/>
    </row>
    <row r="22" spans="2:15" x14ac:dyDescent="0.2">
      <c r="B22" s="1"/>
      <c r="C22" s="13"/>
    </row>
    <row r="23" spans="2:15" ht="15" x14ac:dyDescent="0.25">
      <c r="B23" s="1"/>
      <c r="K23" s="86"/>
      <c r="L23" s="86"/>
      <c r="N23" s="86"/>
      <c r="O23" s="162">
        <v>2026</v>
      </c>
    </row>
    <row r="24" spans="2:15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J24" s="163" t="s">
        <v>785</v>
      </c>
      <c r="K24" s="163" t="s">
        <v>786</v>
      </c>
      <c r="L24" s="163"/>
      <c r="M24" s="164"/>
      <c r="N24" s="165"/>
      <c r="O24" s="166" t="s">
        <v>787</v>
      </c>
    </row>
    <row r="25" spans="2:15" ht="15" x14ac:dyDescent="0.25">
      <c r="H25" s="17"/>
      <c r="J25" s="163"/>
      <c r="K25" s="163"/>
      <c r="L25" s="163"/>
      <c r="M25" s="164"/>
      <c r="N25" s="165"/>
      <c r="O25" s="166"/>
    </row>
    <row r="26" spans="2:15" ht="15" x14ac:dyDescent="0.25">
      <c r="B26" s="49" t="s">
        <v>168</v>
      </c>
      <c r="E26">
        <v>1</v>
      </c>
      <c r="F26" s="17">
        <v>2960</v>
      </c>
      <c r="G26" s="18"/>
      <c r="H26" s="17">
        <f>E26*F26</f>
        <v>2960</v>
      </c>
      <c r="J26" s="86">
        <v>1</v>
      </c>
      <c r="K26" s="86">
        <v>99</v>
      </c>
      <c r="L26" s="86"/>
      <c r="N26" s="167"/>
      <c r="O26" s="168">
        <v>2960</v>
      </c>
    </row>
    <row r="27" spans="2:15" ht="15" x14ac:dyDescent="0.25">
      <c r="B27" s="150"/>
      <c r="F27" s="17"/>
      <c r="G27" s="18"/>
      <c r="H27" s="17"/>
      <c r="J27">
        <v>100</v>
      </c>
      <c r="K27">
        <v>149</v>
      </c>
      <c r="N27" s="167"/>
      <c r="O27" s="168">
        <v>3580</v>
      </c>
    </row>
    <row r="28" spans="2:15" ht="15" x14ac:dyDescent="0.25">
      <c r="F28" s="17"/>
      <c r="G28" s="18"/>
      <c r="H28" s="17"/>
      <c r="J28">
        <v>150</v>
      </c>
      <c r="K28">
        <v>199</v>
      </c>
      <c r="N28" s="167"/>
      <c r="O28" s="168">
        <v>4090</v>
      </c>
    </row>
    <row r="29" spans="2:15" ht="15" x14ac:dyDescent="0.25">
      <c r="B29" s="108" t="s">
        <v>560</v>
      </c>
      <c r="F29" s="17"/>
      <c r="G29" s="18"/>
      <c r="H29" s="17"/>
      <c r="J29">
        <v>200</v>
      </c>
      <c r="K29">
        <v>249</v>
      </c>
      <c r="N29" s="167"/>
      <c r="O29" s="168">
        <v>4670</v>
      </c>
    </row>
    <row r="30" spans="2:15" ht="15" x14ac:dyDescent="0.25">
      <c r="F30" s="17"/>
      <c r="G30" s="18"/>
      <c r="H30" s="17"/>
      <c r="J30">
        <v>250</v>
      </c>
      <c r="K30">
        <v>299</v>
      </c>
      <c r="L30" s="86"/>
      <c r="N30" s="167"/>
      <c r="O30" s="168">
        <v>5760</v>
      </c>
    </row>
    <row r="31" spans="2:15" ht="15" x14ac:dyDescent="0.25">
      <c r="F31" s="17"/>
      <c r="G31" s="18"/>
      <c r="H31" s="17"/>
      <c r="J31">
        <v>300</v>
      </c>
      <c r="K31">
        <v>349</v>
      </c>
      <c r="N31" s="167"/>
      <c r="O31" s="168">
        <v>6830</v>
      </c>
    </row>
    <row r="32" spans="2:15" ht="15" x14ac:dyDescent="0.25">
      <c r="B32" t="s">
        <v>1</v>
      </c>
      <c r="F32" s="17"/>
      <c r="G32" s="18"/>
      <c r="H32" s="17"/>
      <c r="J32">
        <v>350</v>
      </c>
      <c r="K32">
        <v>399</v>
      </c>
      <c r="N32" s="167"/>
      <c r="O32" s="168">
        <v>7920</v>
      </c>
    </row>
    <row r="33" spans="2:15" ht="15" x14ac:dyDescent="0.25">
      <c r="B33" s="8" t="s">
        <v>21</v>
      </c>
      <c r="C33" t="s">
        <v>1</v>
      </c>
      <c r="F33" s="17"/>
      <c r="G33" s="18"/>
      <c r="H33" s="17"/>
      <c r="J33">
        <v>400</v>
      </c>
      <c r="K33">
        <v>449</v>
      </c>
      <c r="N33" s="167"/>
      <c r="O33" s="168">
        <v>8980</v>
      </c>
    </row>
    <row r="34" spans="2:15" ht="15" x14ac:dyDescent="0.25">
      <c r="B34" s="11" t="s">
        <v>1</v>
      </c>
      <c r="C34" s="11"/>
      <c r="D34" s="11"/>
      <c r="E34" s="11" t="s">
        <v>1</v>
      </c>
      <c r="F34" s="22" t="s">
        <v>1</v>
      </c>
      <c r="G34" s="23"/>
      <c r="H34" s="17" t="s">
        <v>1</v>
      </c>
      <c r="J34">
        <v>450</v>
      </c>
      <c r="K34">
        <v>499</v>
      </c>
      <c r="N34" s="167"/>
      <c r="O34" s="168">
        <v>10080</v>
      </c>
    </row>
    <row r="35" spans="2:15" ht="15" x14ac:dyDescent="0.25">
      <c r="B35" s="11"/>
      <c r="C35" s="11"/>
      <c r="D35" s="11"/>
      <c r="E35" s="11"/>
      <c r="F35" s="22"/>
      <c r="G35" s="22"/>
      <c r="H35" s="17"/>
      <c r="J35">
        <v>500</v>
      </c>
      <c r="K35">
        <v>549</v>
      </c>
      <c r="N35" s="167"/>
      <c r="O35" s="168">
        <v>11150</v>
      </c>
    </row>
    <row r="36" spans="2:15" ht="15" x14ac:dyDescent="0.25">
      <c r="B36" s="11"/>
      <c r="C36" s="11"/>
      <c r="D36" s="11"/>
      <c r="E36" s="11"/>
      <c r="F36" s="22"/>
      <c r="G36" s="22"/>
      <c r="H36" s="17"/>
      <c r="J36">
        <v>550</v>
      </c>
      <c r="K36">
        <v>599</v>
      </c>
      <c r="N36" s="167"/>
      <c r="O36" s="168">
        <v>12200</v>
      </c>
    </row>
    <row r="37" spans="2:15" ht="15" x14ac:dyDescent="0.25">
      <c r="F37" s="17"/>
      <c r="G37" s="17"/>
      <c r="H37" s="17"/>
      <c r="J37">
        <v>600</v>
      </c>
      <c r="K37">
        <v>649</v>
      </c>
      <c r="N37" s="167"/>
      <c r="O37" s="168">
        <v>13260</v>
      </c>
    </row>
    <row r="38" spans="2:15" ht="15" x14ac:dyDescent="0.25">
      <c r="F38" s="17"/>
      <c r="G38" s="17"/>
      <c r="H38" s="17"/>
      <c r="J38">
        <v>650</v>
      </c>
      <c r="K38">
        <v>699</v>
      </c>
      <c r="N38" s="167"/>
      <c r="O38" s="168">
        <v>14360</v>
      </c>
    </row>
    <row r="39" spans="2:15" ht="15" x14ac:dyDescent="0.25">
      <c r="F39" s="17"/>
      <c r="G39" s="17"/>
      <c r="H39" s="17"/>
      <c r="J39">
        <v>700</v>
      </c>
      <c r="K39">
        <v>749</v>
      </c>
      <c r="N39" s="167"/>
      <c r="O39" s="168">
        <v>15430</v>
      </c>
    </row>
    <row r="40" spans="2:15" ht="15.75" x14ac:dyDescent="0.25">
      <c r="B40" s="3" t="s">
        <v>23</v>
      </c>
      <c r="C40" s="3"/>
      <c r="D40" s="3"/>
      <c r="E40" s="3"/>
      <c r="F40" s="19"/>
      <c r="G40" s="19"/>
      <c r="H40" s="19">
        <f>SUM(H26:H39)</f>
        <v>2960</v>
      </c>
      <c r="J40">
        <v>750</v>
      </c>
      <c r="K40">
        <v>799</v>
      </c>
      <c r="N40" s="167"/>
      <c r="O40" s="168">
        <v>16530</v>
      </c>
    </row>
    <row r="41" spans="2:15" ht="15" x14ac:dyDescent="0.25">
      <c r="J41">
        <v>800</v>
      </c>
      <c r="K41">
        <v>849</v>
      </c>
      <c r="N41" s="167"/>
      <c r="O41" s="168">
        <v>17590</v>
      </c>
    </row>
    <row r="42" spans="2:15" ht="15" x14ac:dyDescent="0.25">
      <c r="J42">
        <v>850</v>
      </c>
      <c r="K42">
        <v>899</v>
      </c>
      <c r="N42" s="167"/>
      <c r="O42" s="168">
        <v>18680</v>
      </c>
    </row>
    <row r="43" spans="2:15" ht="15" x14ac:dyDescent="0.25">
      <c r="J43">
        <v>900</v>
      </c>
      <c r="K43">
        <v>949</v>
      </c>
      <c r="N43" s="167"/>
      <c r="O43" s="168">
        <v>19750</v>
      </c>
    </row>
    <row r="44" spans="2:15" ht="15" x14ac:dyDescent="0.25">
      <c r="J44">
        <v>950</v>
      </c>
      <c r="K44">
        <v>999</v>
      </c>
      <c r="N44" s="167"/>
      <c r="O44" s="168">
        <v>20820</v>
      </c>
    </row>
    <row r="45" spans="2:15" ht="15" x14ac:dyDescent="0.25">
      <c r="J45">
        <v>1000</v>
      </c>
      <c r="K45">
        <v>1099</v>
      </c>
      <c r="N45" s="167"/>
      <c r="O45" s="168">
        <v>23000</v>
      </c>
    </row>
    <row r="46" spans="2:15" ht="15" x14ac:dyDescent="0.25">
      <c r="J46">
        <v>1100</v>
      </c>
      <c r="K46">
        <v>1199</v>
      </c>
      <c r="N46" s="167"/>
      <c r="O46" s="168">
        <v>24100</v>
      </c>
    </row>
    <row r="47" spans="2:15" ht="15" x14ac:dyDescent="0.25">
      <c r="J47">
        <v>1200</v>
      </c>
      <c r="K47">
        <v>1299</v>
      </c>
      <c r="N47" s="167"/>
      <c r="O47" s="168">
        <v>26260</v>
      </c>
    </row>
    <row r="48" spans="2:15" ht="15" x14ac:dyDescent="0.25">
      <c r="J48">
        <v>1300</v>
      </c>
      <c r="K48">
        <v>1399</v>
      </c>
      <c r="N48" s="167"/>
      <c r="O48" s="168">
        <v>28400</v>
      </c>
    </row>
    <row r="49" spans="10:15" ht="15" x14ac:dyDescent="0.25">
      <c r="J49">
        <v>1400</v>
      </c>
      <c r="K49">
        <v>1499</v>
      </c>
      <c r="N49" s="167"/>
      <c r="O49" s="168">
        <v>30240</v>
      </c>
    </row>
    <row r="50" spans="10:15" ht="15" x14ac:dyDescent="0.25">
      <c r="J50">
        <v>1500</v>
      </c>
      <c r="K50">
        <v>1599</v>
      </c>
      <c r="N50" s="167"/>
      <c r="O50" s="168">
        <v>32710</v>
      </c>
    </row>
    <row r="51" spans="10:15" ht="15" x14ac:dyDescent="0.25">
      <c r="J51">
        <v>1600</v>
      </c>
      <c r="K51">
        <v>1699</v>
      </c>
      <c r="N51" s="167"/>
      <c r="O51" s="168">
        <v>34890</v>
      </c>
    </row>
    <row r="52" spans="10:15" ht="15" x14ac:dyDescent="0.25">
      <c r="J52">
        <v>1700</v>
      </c>
      <c r="K52">
        <v>1799</v>
      </c>
      <c r="N52" s="167"/>
      <c r="O52" s="168">
        <v>37060</v>
      </c>
    </row>
    <row r="53" spans="10:15" ht="15" x14ac:dyDescent="0.25">
      <c r="J53">
        <v>1800</v>
      </c>
      <c r="K53">
        <v>1899</v>
      </c>
      <c r="N53" s="167"/>
      <c r="O53" s="168">
        <v>39200</v>
      </c>
    </row>
    <row r="54" spans="10:15" ht="15" x14ac:dyDescent="0.25">
      <c r="J54">
        <v>1900</v>
      </c>
      <c r="K54">
        <v>1999</v>
      </c>
      <c r="N54" s="167"/>
      <c r="O54" s="168">
        <v>41380</v>
      </c>
    </row>
    <row r="55" spans="10:15" ht="15" x14ac:dyDescent="0.25">
      <c r="J55">
        <v>2000</v>
      </c>
      <c r="K55">
        <v>2099</v>
      </c>
      <c r="N55" s="167"/>
      <c r="O55" s="168">
        <v>43500</v>
      </c>
    </row>
    <row r="56" spans="10:15" ht="15" x14ac:dyDescent="0.25">
      <c r="J56">
        <v>2100</v>
      </c>
      <c r="K56">
        <v>2199</v>
      </c>
      <c r="N56" s="167"/>
      <c r="O56" s="168">
        <v>45650</v>
      </c>
    </row>
    <row r="57" spans="10:15" ht="15" x14ac:dyDescent="0.25">
      <c r="J57">
        <v>2200</v>
      </c>
      <c r="K57">
        <v>2299</v>
      </c>
      <c r="N57" s="167"/>
      <c r="O57" s="168">
        <v>47850</v>
      </c>
    </row>
    <row r="58" spans="10:15" ht="15" x14ac:dyDescent="0.25">
      <c r="J58">
        <v>2300</v>
      </c>
      <c r="K58">
        <v>2399</v>
      </c>
      <c r="N58" s="167"/>
      <c r="O58" s="168">
        <v>49980</v>
      </c>
    </row>
    <row r="59" spans="10:15" ht="15" x14ac:dyDescent="0.25">
      <c r="J59">
        <v>2400</v>
      </c>
      <c r="K59">
        <v>2499</v>
      </c>
      <c r="N59" s="167"/>
      <c r="O59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61DD-CC20-49BD-B40D-BD0E2FB01FBB}">
  <sheetPr codeName="Ark44">
    <pageSetUpPr fitToPage="1"/>
  </sheetPr>
  <dimension ref="A2:S66"/>
  <sheetViews>
    <sheetView topLeftCell="A13" workbookViewId="0">
      <selection activeCell="I50" sqref="I50"/>
    </sheetView>
  </sheetViews>
  <sheetFormatPr baseColWidth="10" defaultRowHeight="12.75" x14ac:dyDescent="0.2"/>
  <sheetData>
    <row r="2" spans="2:19" ht="20.25" x14ac:dyDescent="0.3">
      <c r="B2" s="10" t="s">
        <v>22</v>
      </c>
    </row>
    <row r="4" spans="2:19" x14ac:dyDescent="0.2">
      <c r="B4" s="1" t="s">
        <v>0</v>
      </c>
      <c r="C4" s="1" t="s">
        <v>66</v>
      </c>
      <c r="F4" s="1" t="s">
        <v>19</v>
      </c>
      <c r="G4" s="12" t="s">
        <v>1</v>
      </c>
      <c r="H4" s="13"/>
    </row>
    <row r="5" spans="2:19" x14ac:dyDescent="0.2">
      <c r="B5" s="1"/>
      <c r="C5" s="4" t="s">
        <v>67</v>
      </c>
      <c r="F5" s="1"/>
      <c r="G5" s="12"/>
      <c r="H5" s="13"/>
    </row>
    <row r="6" spans="2:19" x14ac:dyDescent="0.2">
      <c r="B6" s="1"/>
      <c r="C6" s="4" t="s">
        <v>68</v>
      </c>
      <c r="F6" s="1"/>
      <c r="G6" s="12"/>
      <c r="H6" s="13"/>
    </row>
    <row r="7" spans="2:19" x14ac:dyDescent="0.2">
      <c r="B7" s="1"/>
      <c r="C7" s="4"/>
      <c r="F7" s="1"/>
      <c r="G7" s="12"/>
      <c r="H7" s="13"/>
    </row>
    <row r="8" spans="2:19" x14ac:dyDescent="0.2">
      <c r="B8" s="1"/>
      <c r="C8" s="4"/>
      <c r="F8" s="1"/>
      <c r="G8" s="12"/>
      <c r="H8" s="13"/>
    </row>
    <row r="9" spans="2:19" x14ac:dyDescent="0.2">
      <c r="B9" s="1" t="s">
        <v>18</v>
      </c>
      <c r="C9" s="4" t="s">
        <v>46</v>
      </c>
      <c r="F9" s="1"/>
      <c r="G9" s="1"/>
      <c r="H9" s="13"/>
    </row>
    <row r="10" spans="2:19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19" x14ac:dyDescent="0.2">
      <c r="B11" s="1"/>
    </row>
    <row r="12" spans="2:19" x14ac:dyDescent="0.2">
      <c r="B12" s="8" t="s">
        <v>7</v>
      </c>
      <c r="F12" t="s">
        <v>1</v>
      </c>
      <c r="G12" s="40" t="s">
        <v>126</v>
      </c>
    </row>
    <row r="13" spans="2:19" x14ac:dyDescent="0.2">
      <c r="B13" s="1" t="s">
        <v>8</v>
      </c>
      <c r="C13" s="4" t="s">
        <v>1</v>
      </c>
      <c r="F13" t="s">
        <v>1</v>
      </c>
      <c r="G13" s="4" t="s">
        <v>1</v>
      </c>
    </row>
    <row r="14" spans="2:19" ht="15" x14ac:dyDescent="0.25">
      <c r="B14" s="1" t="s">
        <v>9</v>
      </c>
      <c r="C14" s="11" t="s">
        <v>69</v>
      </c>
      <c r="G14" s="4" t="s">
        <v>1</v>
      </c>
      <c r="L14" s="86"/>
      <c r="N14" s="86"/>
      <c r="O14" s="162"/>
      <c r="R14" s="86"/>
      <c r="S14" s="162">
        <v>2026</v>
      </c>
    </row>
    <row r="15" spans="2:19" ht="15" x14ac:dyDescent="0.25">
      <c r="B15" s="1"/>
      <c r="F15" t="s">
        <v>37</v>
      </c>
      <c r="G15" s="49" t="s">
        <v>195</v>
      </c>
      <c r="L15" s="163"/>
      <c r="M15" s="163"/>
      <c r="N15" s="163"/>
      <c r="O15" s="166"/>
      <c r="Q15" s="163" t="s">
        <v>785</v>
      </c>
      <c r="R15" s="163" t="s">
        <v>786</v>
      </c>
      <c r="S15" s="166" t="s">
        <v>787</v>
      </c>
    </row>
    <row r="16" spans="2:19" ht="15" x14ac:dyDescent="0.25">
      <c r="B16" s="1" t="s">
        <v>16</v>
      </c>
      <c r="C16" s="11" t="s">
        <v>29</v>
      </c>
      <c r="L16" s="163"/>
      <c r="M16" s="163"/>
      <c r="N16" s="163"/>
      <c r="O16" s="166"/>
      <c r="Q16" s="163"/>
      <c r="R16" s="163"/>
      <c r="S16" s="166"/>
    </row>
    <row r="17" spans="2:19" ht="15" x14ac:dyDescent="0.25">
      <c r="B17" s="1"/>
      <c r="G17" t="s">
        <v>185</v>
      </c>
      <c r="L17" s="86"/>
      <c r="M17" s="86"/>
      <c r="N17" s="86"/>
      <c r="O17" s="168"/>
      <c r="Q17" s="86">
        <v>1</v>
      </c>
      <c r="R17" s="86">
        <v>99</v>
      </c>
      <c r="S17" s="168">
        <v>2960</v>
      </c>
    </row>
    <row r="18" spans="2:19" ht="15" x14ac:dyDescent="0.25">
      <c r="B18" s="1"/>
      <c r="C18" s="13"/>
      <c r="O18" s="168"/>
      <c r="Q18">
        <v>100</v>
      </c>
      <c r="R18">
        <v>149</v>
      </c>
      <c r="S18" s="168">
        <v>3580</v>
      </c>
    </row>
    <row r="19" spans="2:19" ht="15" x14ac:dyDescent="0.25">
      <c r="B19" s="1" t="s">
        <v>11</v>
      </c>
      <c r="C19" s="13" t="s">
        <v>39</v>
      </c>
      <c r="O19" s="168"/>
      <c r="Q19">
        <v>150</v>
      </c>
      <c r="R19">
        <v>199</v>
      </c>
      <c r="S19" s="168">
        <v>4090</v>
      </c>
    </row>
    <row r="20" spans="2:19" ht="15" x14ac:dyDescent="0.25">
      <c r="B20" s="1" t="s">
        <v>20</v>
      </c>
      <c r="C20" s="13" t="s">
        <v>1</v>
      </c>
      <c r="O20" s="168"/>
      <c r="Q20">
        <v>200</v>
      </c>
      <c r="R20">
        <v>249</v>
      </c>
      <c r="S20" s="168">
        <v>4670</v>
      </c>
    </row>
    <row r="21" spans="2:19" ht="15" x14ac:dyDescent="0.25">
      <c r="B21" s="1"/>
      <c r="C21" s="13"/>
      <c r="L21" s="86"/>
      <c r="O21" s="168"/>
      <c r="Q21">
        <v>250</v>
      </c>
      <c r="R21">
        <v>299</v>
      </c>
      <c r="S21" s="168">
        <v>5760</v>
      </c>
    </row>
    <row r="22" spans="2:19" ht="15" x14ac:dyDescent="0.25">
      <c r="B22" s="1"/>
      <c r="C22" s="13"/>
      <c r="O22" s="168"/>
      <c r="Q22">
        <v>300</v>
      </c>
      <c r="R22">
        <v>349</v>
      </c>
      <c r="S22" s="168">
        <v>6830</v>
      </c>
    </row>
    <row r="23" spans="2:19" ht="15" x14ac:dyDescent="0.25">
      <c r="B23" s="1"/>
      <c r="O23" s="168"/>
      <c r="Q23">
        <v>350</v>
      </c>
      <c r="R23">
        <v>399</v>
      </c>
      <c r="S23" s="168">
        <v>7920</v>
      </c>
    </row>
    <row r="24" spans="2:19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O24" s="168"/>
      <c r="Q24">
        <v>400</v>
      </c>
      <c r="R24">
        <v>449</v>
      </c>
      <c r="S24" s="168">
        <v>8980</v>
      </c>
    </row>
    <row r="25" spans="2:19" ht="15" x14ac:dyDescent="0.25">
      <c r="H25" s="17"/>
      <c r="O25" s="168"/>
      <c r="Q25">
        <v>450</v>
      </c>
      <c r="R25">
        <v>499</v>
      </c>
      <c r="S25" s="168">
        <v>10080</v>
      </c>
    </row>
    <row r="26" spans="2:19" ht="15" x14ac:dyDescent="0.25">
      <c r="B26" s="49" t="s">
        <v>168</v>
      </c>
      <c r="E26">
        <v>1</v>
      </c>
      <c r="F26" s="17">
        <v>2960</v>
      </c>
      <c r="G26" s="18"/>
      <c r="H26" s="17">
        <f>E26*F26</f>
        <v>2960</v>
      </c>
      <c r="O26" s="168"/>
      <c r="Q26">
        <v>500</v>
      </c>
      <c r="R26">
        <v>549</v>
      </c>
      <c r="S26" s="168">
        <v>11150</v>
      </c>
    </row>
    <row r="27" spans="2:19" ht="15" x14ac:dyDescent="0.25">
      <c r="B27" s="4" t="s">
        <v>392</v>
      </c>
      <c r="D27" s="4"/>
      <c r="E27">
        <v>1</v>
      </c>
      <c r="F27" s="17">
        <v>199</v>
      </c>
      <c r="G27" s="18"/>
      <c r="H27" s="17">
        <f>E27*F27</f>
        <v>199</v>
      </c>
      <c r="O27" s="168"/>
      <c r="Q27">
        <v>550</v>
      </c>
      <c r="R27">
        <v>599</v>
      </c>
      <c r="S27" s="168">
        <v>12200</v>
      </c>
    </row>
    <row r="28" spans="2:19" ht="15" x14ac:dyDescent="0.25">
      <c r="F28" s="17"/>
      <c r="G28" s="18"/>
      <c r="H28" s="17"/>
      <c r="O28" s="168"/>
      <c r="Q28">
        <v>600</v>
      </c>
      <c r="R28">
        <v>649</v>
      </c>
      <c r="S28" s="168">
        <v>13260</v>
      </c>
    </row>
    <row r="29" spans="2:19" ht="15.75" x14ac:dyDescent="0.25">
      <c r="B29" s="3" t="s">
        <v>23</v>
      </c>
      <c r="C29" s="3"/>
      <c r="D29" s="3"/>
      <c r="E29" s="3"/>
      <c r="F29" s="19"/>
      <c r="G29" s="19"/>
      <c r="H29" s="19">
        <f>SUM(H26:H28)</f>
        <v>3159</v>
      </c>
      <c r="O29" s="168"/>
      <c r="Q29">
        <v>650</v>
      </c>
      <c r="R29">
        <v>699</v>
      </c>
      <c r="S29" s="168">
        <v>14360</v>
      </c>
    </row>
    <row r="30" spans="2:19" ht="15" x14ac:dyDescent="0.25">
      <c r="F30" s="17"/>
      <c r="G30" s="18"/>
      <c r="H30" s="17"/>
      <c r="O30" s="168"/>
      <c r="Q30">
        <v>700</v>
      </c>
      <c r="R30">
        <v>749</v>
      </c>
      <c r="S30" s="168">
        <v>15430</v>
      </c>
    </row>
    <row r="31" spans="2:19" ht="15" x14ac:dyDescent="0.25">
      <c r="B31" s="108" t="s">
        <v>567</v>
      </c>
      <c r="F31" s="17"/>
      <c r="G31" s="18"/>
      <c r="H31" s="17"/>
      <c r="O31" s="168"/>
      <c r="Q31">
        <v>750</v>
      </c>
      <c r="R31">
        <v>799</v>
      </c>
      <c r="S31" s="168">
        <v>16530</v>
      </c>
    </row>
    <row r="32" spans="2:19" ht="15" x14ac:dyDescent="0.25">
      <c r="B32" s="108"/>
      <c r="F32" s="17"/>
      <c r="G32" s="18"/>
      <c r="H32" s="17"/>
      <c r="O32" s="168"/>
      <c r="Q32">
        <v>800</v>
      </c>
      <c r="R32">
        <v>849</v>
      </c>
      <c r="S32" s="168">
        <v>17590</v>
      </c>
    </row>
    <row r="33" spans="1:19" ht="15" x14ac:dyDescent="0.25">
      <c r="B33" s="8" t="s">
        <v>21</v>
      </c>
      <c r="C33" t="s">
        <v>1</v>
      </c>
      <c r="F33" s="17"/>
      <c r="G33" s="18"/>
      <c r="H33" s="17"/>
      <c r="O33" s="168"/>
      <c r="Q33">
        <v>850</v>
      </c>
      <c r="R33">
        <v>899</v>
      </c>
      <c r="S33" s="168">
        <v>18680</v>
      </c>
    </row>
    <row r="34" spans="1:19" ht="15" x14ac:dyDescent="0.25">
      <c r="B34" s="4" t="s">
        <v>327</v>
      </c>
      <c r="C34" t="s">
        <v>34</v>
      </c>
      <c r="E34" s="4" t="s">
        <v>36</v>
      </c>
      <c r="F34" s="4" t="s">
        <v>71</v>
      </c>
      <c r="G34" s="4" t="s">
        <v>72</v>
      </c>
      <c r="O34" s="168"/>
      <c r="Q34">
        <v>900</v>
      </c>
      <c r="R34">
        <v>949</v>
      </c>
      <c r="S34" s="168">
        <v>19750</v>
      </c>
    </row>
    <row r="35" spans="1:19" ht="15" x14ac:dyDescent="0.25">
      <c r="A35" s="4" t="s">
        <v>393</v>
      </c>
      <c r="B35">
        <v>64</v>
      </c>
      <c r="C35">
        <v>53</v>
      </c>
      <c r="E35">
        <v>43</v>
      </c>
      <c r="F35">
        <v>62</v>
      </c>
      <c r="G35">
        <v>56</v>
      </c>
      <c r="O35" s="168"/>
      <c r="Q35">
        <v>950</v>
      </c>
      <c r="R35">
        <v>999</v>
      </c>
      <c r="S35" s="168">
        <v>20820</v>
      </c>
    </row>
    <row r="36" spans="1:19" ht="15" x14ac:dyDescent="0.25">
      <c r="A36" s="4" t="s">
        <v>394</v>
      </c>
      <c r="B36">
        <v>25</v>
      </c>
      <c r="C36">
        <v>15</v>
      </c>
      <c r="E36">
        <v>17</v>
      </c>
      <c r="F36">
        <v>15</v>
      </c>
      <c r="G36">
        <v>11</v>
      </c>
      <c r="O36" s="168"/>
      <c r="Q36">
        <v>1000</v>
      </c>
      <c r="R36">
        <v>1099</v>
      </c>
      <c r="S36" s="168">
        <v>23000</v>
      </c>
    </row>
    <row r="37" spans="1:19" ht="15" x14ac:dyDescent="0.25">
      <c r="B37">
        <f>SUM(B35:B36)</f>
        <v>89</v>
      </c>
      <c r="C37">
        <f>SUM(C35:C36)</f>
        <v>68</v>
      </c>
      <c r="E37">
        <f>SUM(E35:E36)</f>
        <v>60</v>
      </c>
      <c r="F37">
        <f>SUM(F35:F36)</f>
        <v>77</v>
      </c>
      <c r="G37">
        <f>SUM(G35:G36)</f>
        <v>67</v>
      </c>
      <c r="O37" s="168"/>
      <c r="Q37">
        <v>1100</v>
      </c>
      <c r="R37">
        <v>1199</v>
      </c>
      <c r="S37" s="168">
        <v>24100</v>
      </c>
    </row>
    <row r="38" spans="1:19" ht="15" x14ac:dyDescent="0.25">
      <c r="O38" s="168"/>
      <c r="Q38">
        <v>1200</v>
      </c>
      <c r="R38">
        <v>1299</v>
      </c>
      <c r="S38" s="168">
        <v>26260</v>
      </c>
    </row>
    <row r="39" spans="1:19" ht="15" x14ac:dyDescent="0.25">
      <c r="A39" s="1">
        <v>2025</v>
      </c>
      <c r="O39" s="168"/>
      <c r="Q39">
        <v>1300</v>
      </c>
      <c r="R39">
        <v>1399</v>
      </c>
      <c r="S39" s="168">
        <v>28400</v>
      </c>
    </row>
    <row r="40" spans="1:19" ht="15" x14ac:dyDescent="0.25">
      <c r="A40" s="1"/>
      <c r="B40" s="1" t="s">
        <v>409</v>
      </c>
      <c r="C40" s="1" t="s">
        <v>521</v>
      </c>
      <c r="D40" s="1" t="s">
        <v>314</v>
      </c>
      <c r="E40" s="1" t="s">
        <v>32</v>
      </c>
      <c r="F40" s="1" t="s">
        <v>358</v>
      </c>
      <c r="G40" s="1" t="s">
        <v>606</v>
      </c>
      <c r="H40" s="1" t="s">
        <v>610</v>
      </c>
      <c r="I40" s="1" t="s">
        <v>655</v>
      </c>
      <c r="O40" s="168"/>
      <c r="Q40">
        <v>1400</v>
      </c>
      <c r="R40">
        <v>1499</v>
      </c>
      <c r="S40" s="168">
        <v>30240</v>
      </c>
    </row>
    <row r="41" spans="1:19" ht="15" x14ac:dyDescent="0.25">
      <c r="A41" t="s">
        <v>393</v>
      </c>
      <c r="B41">
        <v>64</v>
      </c>
      <c r="C41">
        <v>56</v>
      </c>
      <c r="D41">
        <v>68</v>
      </c>
      <c r="E41">
        <v>57</v>
      </c>
      <c r="F41">
        <v>69</v>
      </c>
      <c r="G41">
        <v>71</v>
      </c>
      <c r="H41">
        <v>58</v>
      </c>
      <c r="I41">
        <v>60</v>
      </c>
      <c r="O41" s="168"/>
      <c r="Q41">
        <v>1500</v>
      </c>
      <c r="R41">
        <v>1599</v>
      </c>
      <c r="S41" s="168">
        <v>32710</v>
      </c>
    </row>
    <row r="42" spans="1:19" ht="15" x14ac:dyDescent="0.25">
      <c r="A42" t="s">
        <v>394</v>
      </c>
      <c r="B42">
        <v>24</v>
      </c>
      <c r="C42">
        <v>13</v>
      </c>
      <c r="D42">
        <v>15</v>
      </c>
      <c r="E42">
        <v>10</v>
      </c>
      <c r="F42">
        <v>11</v>
      </c>
      <c r="G42">
        <v>19</v>
      </c>
      <c r="H42">
        <v>9</v>
      </c>
      <c r="I42">
        <v>6</v>
      </c>
      <c r="O42" s="168"/>
      <c r="Q42">
        <v>1600</v>
      </c>
      <c r="R42">
        <v>1699</v>
      </c>
      <c r="S42" s="168">
        <v>34890</v>
      </c>
    </row>
    <row r="43" spans="1:19" ht="15" x14ac:dyDescent="0.25">
      <c r="A43" s="108" t="s">
        <v>840</v>
      </c>
      <c r="B43">
        <f t="shared" ref="B43:G43" si="0">SUM(B41:B42)</f>
        <v>88</v>
      </c>
      <c r="C43">
        <f t="shared" si="0"/>
        <v>69</v>
      </c>
      <c r="D43">
        <f t="shared" si="0"/>
        <v>83</v>
      </c>
      <c r="E43">
        <f t="shared" si="0"/>
        <v>67</v>
      </c>
      <c r="F43">
        <f t="shared" si="0"/>
        <v>80</v>
      </c>
      <c r="G43">
        <f t="shared" si="0"/>
        <v>90</v>
      </c>
      <c r="H43">
        <f>SUM(H41:H42)</f>
        <v>67</v>
      </c>
      <c r="I43">
        <f>SUM(I41:I42)</f>
        <v>66</v>
      </c>
      <c r="O43" s="168"/>
      <c r="Q43">
        <v>1700</v>
      </c>
      <c r="R43">
        <v>1799</v>
      </c>
      <c r="S43" s="168">
        <v>37060</v>
      </c>
    </row>
    <row r="44" spans="1:19" ht="15" x14ac:dyDescent="0.25">
      <c r="O44" s="168"/>
      <c r="Q44">
        <v>1800</v>
      </c>
      <c r="R44">
        <v>1899</v>
      </c>
      <c r="S44" s="168">
        <v>39200</v>
      </c>
    </row>
    <row r="45" spans="1:19" ht="15" x14ac:dyDescent="0.25">
      <c r="A45" s="1">
        <v>2026</v>
      </c>
      <c r="C45" s="4"/>
      <c r="D45" s="4"/>
      <c r="E45" s="4"/>
      <c r="F45" s="4"/>
      <c r="G45" s="4"/>
      <c r="H45" s="4"/>
      <c r="O45" s="168"/>
      <c r="Q45">
        <v>1900</v>
      </c>
      <c r="R45">
        <v>1999</v>
      </c>
      <c r="S45" s="168">
        <v>41380</v>
      </c>
    </row>
    <row r="46" spans="1:19" ht="15" x14ac:dyDescent="0.25">
      <c r="A46" s="1"/>
      <c r="B46" s="1" t="s">
        <v>216</v>
      </c>
      <c r="C46" s="1" t="s">
        <v>72</v>
      </c>
      <c r="D46" s="1" t="s">
        <v>409</v>
      </c>
      <c r="E46" s="1" t="s">
        <v>521</v>
      </c>
      <c r="F46" s="1" t="s">
        <v>77</v>
      </c>
      <c r="G46" s="1" t="s">
        <v>82</v>
      </c>
      <c r="H46" s="1" t="s">
        <v>83</v>
      </c>
      <c r="I46" s="1" t="s">
        <v>33</v>
      </c>
      <c r="J46" s="1" t="s">
        <v>70</v>
      </c>
      <c r="K46" s="1" t="s">
        <v>34</v>
      </c>
      <c r="L46" s="1" t="s">
        <v>839</v>
      </c>
      <c r="M46" s="1" t="s">
        <v>36</v>
      </c>
      <c r="O46" s="168"/>
      <c r="Q46">
        <v>2000</v>
      </c>
      <c r="R46">
        <v>2099</v>
      </c>
      <c r="S46" s="168">
        <v>43500</v>
      </c>
    </row>
    <row r="47" spans="1:19" ht="15" x14ac:dyDescent="0.25">
      <c r="A47" s="108" t="s">
        <v>393</v>
      </c>
      <c r="B47" s="4">
        <v>41</v>
      </c>
      <c r="C47">
        <v>49</v>
      </c>
      <c r="D47">
        <v>45</v>
      </c>
      <c r="E47">
        <v>45</v>
      </c>
      <c r="F47">
        <v>43</v>
      </c>
      <c r="G47">
        <v>53</v>
      </c>
      <c r="H47">
        <v>37</v>
      </c>
      <c r="I47">
        <v>60</v>
      </c>
      <c r="O47" s="168"/>
      <c r="Q47">
        <v>2100</v>
      </c>
      <c r="R47">
        <v>2199</v>
      </c>
      <c r="S47" s="168">
        <v>45650</v>
      </c>
    </row>
    <row r="48" spans="1:19" ht="15" x14ac:dyDescent="0.25">
      <c r="A48" s="108" t="s">
        <v>394</v>
      </c>
      <c r="B48">
        <v>7</v>
      </c>
      <c r="C48">
        <v>15</v>
      </c>
      <c r="D48">
        <v>11</v>
      </c>
      <c r="E48">
        <v>10</v>
      </c>
      <c r="F48">
        <v>10</v>
      </c>
      <c r="G48">
        <v>6</v>
      </c>
      <c r="H48">
        <v>12</v>
      </c>
      <c r="I48">
        <v>8</v>
      </c>
      <c r="O48" s="168"/>
      <c r="Q48">
        <v>2200</v>
      </c>
      <c r="R48">
        <v>2299</v>
      </c>
      <c r="S48" s="168">
        <v>47850</v>
      </c>
    </row>
    <row r="49" spans="1:19" ht="15" x14ac:dyDescent="0.25">
      <c r="A49" s="108" t="s">
        <v>840</v>
      </c>
      <c r="B49">
        <f>SUM(B47:B48)</f>
        <v>48</v>
      </c>
      <c r="C49">
        <f>SUM(C47:C48)</f>
        <v>64</v>
      </c>
      <c r="D49">
        <v>56</v>
      </c>
      <c r="E49">
        <v>55</v>
      </c>
      <c r="F49">
        <f>SUM(F47:F48)</f>
        <v>53</v>
      </c>
      <c r="G49">
        <f>SUM(G47:G48)</f>
        <v>59</v>
      </c>
      <c r="H49">
        <f>SUM(H47:H48)</f>
        <v>49</v>
      </c>
      <c r="I49">
        <f>SUM(I47:I48)</f>
        <v>68</v>
      </c>
      <c r="O49" s="168"/>
      <c r="Q49">
        <v>2300</v>
      </c>
      <c r="R49">
        <v>2399</v>
      </c>
      <c r="S49" s="168">
        <v>49980</v>
      </c>
    </row>
    <row r="50" spans="1:19" ht="15" x14ac:dyDescent="0.25">
      <c r="C50" s="4"/>
      <c r="D50" s="4"/>
      <c r="E50" s="4"/>
      <c r="F50" s="4"/>
      <c r="G50" s="4"/>
      <c r="H50" s="4"/>
      <c r="O50" s="168"/>
      <c r="Q50">
        <v>2400</v>
      </c>
      <c r="R50">
        <v>2499</v>
      </c>
      <c r="S50" s="168">
        <v>52160</v>
      </c>
    </row>
    <row r="51" spans="1:19" x14ac:dyDescent="0.2">
      <c r="B51" s="4"/>
    </row>
    <row r="52" spans="1:19" x14ac:dyDescent="0.2">
      <c r="B52" s="4"/>
    </row>
    <row r="55" spans="1:19" x14ac:dyDescent="0.2">
      <c r="C55" s="4"/>
      <c r="D55" s="4"/>
      <c r="E55" s="4"/>
      <c r="F55" s="4"/>
      <c r="G55" s="4"/>
      <c r="H55" s="4"/>
    </row>
    <row r="56" spans="1:19" x14ac:dyDescent="0.2">
      <c r="B56" s="4"/>
    </row>
    <row r="57" spans="1:19" x14ac:dyDescent="0.2">
      <c r="B57" s="4"/>
    </row>
    <row r="66" s="1" customFormat="1" x14ac:dyDescent="0.2"/>
  </sheetData>
  <phoneticPr fontId="2" type="noConversion"/>
  <pageMargins left="0.75" right="0.75" top="1" bottom="1" header="0.5" footer="0.5"/>
  <pageSetup paperSize="9" scale="8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83CC-CCB6-4419-8B19-FB92F0CB9BDF}">
  <sheetPr codeName="Ark45">
    <pageSetUpPr fitToPage="1"/>
  </sheetPr>
  <dimension ref="B2:K51"/>
  <sheetViews>
    <sheetView topLeftCell="A12" workbookViewId="0">
      <selection activeCell="F47" sqref="F47"/>
    </sheetView>
  </sheetViews>
  <sheetFormatPr baseColWidth="10" defaultRowHeight="12.75" x14ac:dyDescent="0.2"/>
  <cols>
    <col min="2" max="2" width="21.28515625" customWidth="1"/>
    <col min="5" max="5" width="13.57031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4" t="s">
        <v>234</v>
      </c>
      <c r="F4" s="1" t="s">
        <v>19</v>
      </c>
      <c r="G4" s="12" t="s">
        <v>30</v>
      </c>
      <c r="H4" s="13"/>
    </row>
    <row r="5" spans="2:8" x14ac:dyDescent="0.2">
      <c r="B5" s="1" t="s">
        <v>18</v>
      </c>
      <c r="C5" s="4" t="s">
        <v>1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38" t="s">
        <v>1</v>
      </c>
      <c r="F9" s="107" t="s">
        <v>235</v>
      </c>
    </row>
    <row r="10" spans="2:8" x14ac:dyDescent="0.2">
      <c r="B10" s="1" t="s">
        <v>9</v>
      </c>
      <c r="C10" s="11" t="s">
        <v>1</v>
      </c>
    </row>
    <row r="11" spans="2:8" x14ac:dyDescent="0.2">
      <c r="B11" s="1"/>
      <c r="F11" s="1" t="s">
        <v>517</v>
      </c>
    </row>
    <row r="12" spans="2:8" x14ac:dyDescent="0.2">
      <c r="B12" s="1" t="s">
        <v>16</v>
      </c>
      <c r="C12" s="11" t="s">
        <v>29</v>
      </c>
      <c r="F12" s="1" t="s">
        <v>518</v>
      </c>
    </row>
    <row r="13" spans="2:8" x14ac:dyDescent="0.2">
      <c r="B13" s="1"/>
      <c r="F13" s="1" t="s">
        <v>519</v>
      </c>
    </row>
    <row r="14" spans="2:8" x14ac:dyDescent="0.2">
      <c r="B14" s="1"/>
      <c r="C14" s="13"/>
      <c r="F14" s="44" t="s">
        <v>535</v>
      </c>
    </row>
    <row r="15" spans="2:8" x14ac:dyDescent="0.2">
      <c r="B15" s="1" t="s">
        <v>11</v>
      </c>
      <c r="C15" s="13" t="s">
        <v>39</v>
      </c>
      <c r="F15" s="20" t="s">
        <v>389</v>
      </c>
    </row>
    <row r="16" spans="2:8" x14ac:dyDescent="0.2">
      <c r="B16" s="1" t="s">
        <v>20</v>
      </c>
      <c r="C16" s="13" t="s">
        <v>1</v>
      </c>
      <c r="F16" s="20" t="s">
        <v>380</v>
      </c>
    </row>
    <row r="17" spans="2:11" x14ac:dyDescent="0.2">
      <c r="B17" s="1"/>
      <c r="C17" s="13"/>
      <c r="F17" t="s">
        <v>536</v>
      </c>
    </row>
    <row r="18" spans="2:11" x14ac:dyDescent="0.2">
      <c r="B18" s="1"/>
      <c r="C18" s="13"/>
      <c r="F18" t="s">
        <v>537</v>
      </c>
    </row>
    <row r="19" spans="2:11" x14ac:dyDescent="0.2">
      <c r="B19" s="1"/>
      <c r="J19" s="1" t="s">
        <v>802</v>
      </c>
    </row>
    <row r="20" spans="2:11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  <c r="J20">
        <v>2870</v>
      </c>
      <c r="K20" s="108" t="s">
        <v>804</v>
      </c>
    </row>
    <row r="21" spans="2:11" x14ac:dyDescent="0.2">
      <c r="H21" s="17"/>
      <c r="J21">
        <v>3460</v>
      </c>
      <c r="K21" t="s">
        <v>803</v>
      </c>
    </row>
    <row r="22" spans="2:11" x14ac:dyDescent="0.2">
      <c r="B22" s="49" t="s">
        <v>54</v>
      </c>
      <c r="D22" s="108" t="s">
        <v>537</v>
      </c>
      <c r="E22">
        <v>1</v>
      </c>
      <c r="F22" s="17">
        <v>2870</v>
      </c>
      <c r="G22" s="18"/>
      <c r="H22" s="17">
        <f>E22*F22</f>
        <v>2870</v>
      </c>
      <c r="J22">
        <v>3960</v>
      </c>
      <c r="K22" t="s">
        <v>805</v>
      </c>
    </row>
    <row r="23" spans="2:11" x14ac:dyDescent="0.2">
      <c r="F23" s="17"/>
      <c r="G23" s="18"/>
      <c r="H23" s="17"/>
      <c r="J23">
        <v>4550</v>
      </c>
      <c r="K23" t="s">
        <v>806</v>
      </c>
    </row>
    <row r="24" spans="2:11" x14ac:dyDescent="0.2">
      <c r="F24" s="17"/>
      <c r="G24" s="18"/>
      <c r="H24" s="17"/>
      <c r="J24">
        <v>5590</v>
      </c>
      <c r="K24" t="s">
        <v>807</v>
      </c>
    </row>
    <row r="25" spans="2:11" x14ac:dyDescent="0.2">
      <c r="F25" s="17"/>
      <c r="G25" s="18"/>
      <c r="H25" s="17"/>
    </row>
    <row r="26" spans="2:11" x14ac:dyDescent="0.2">
      <c r="F26" s="17"/>
      <c r="G26" s="18"/>
      <c r="H26" s="17"/>
      <c r="J26" s="108" t="s">
        <v>808</v>
      </c>
    </row>
    <row r="27" spans="2:11" x14ac:dyDescent="0.2">
      <c r="F27" s="17"/>
      <c r="G27" s="18"/>
      <c r="H27" s="17"/>
    </row>
    <row r="28" spans="2:11" x14ac:dyDescent="0.2">
      <c r="B28" s="8" t="s">
        <v>21</v>
      </c>
      <c r="C28" t="s">
        <v>1</v>
      </c>
      <c r="F28" s="17"/>
      <c r="G28" s="18"/>
      <c r="H28" s="17"/>
    </row>
    <row r="29" spans="2:11" x14ac:dyDescent="0.2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</row>
    <row r="30" spans="2:11" x14ac:dyDescent="0.2">
      <c r="B30" s="11"/>
      <c r="C30" s="11"/>
      <c r="D30" s="11"/>
      <c r="E30" s="11"/>
      <c r="F30" s="22"/>
      <c r="G30" s="22"/>
      <c r="H30" s="17"/>
    </row>
    <row r="31" spans="2:11" x14ac:dyDescent="0.2">
      <c r="B31" s="11"/>
      <c r="C31" s="11"/>
      <c r="D31" s="11"/>
      <c r="E31" s="11"/>
      <c r="F31" s="22"/>
      <c r="G31" s="22"/>
      <c r="H31" s="17"/>
    </row>
    <row r="32" spans="2:11" x14ac:dyDescent="0.2">
      <c r="F32" s="17"/>
      <c r="G32" s="17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2870</v>
      </c>
    </row>
    <row r="37" spans="2:8" x14ac:dyDescent="0.2">
      <c r="B37" s="49" t="s">
        <v>514</v>
      </c>
      <c r="E37" s="108" t="s">
        <v>841</v>
      </c>
    </row>
    <row r="38" spans="2:8" x14ac:dyDescent="0.2">
      <c r="B38" s="4" t="s">
        <v>415</v>
      </c>
      <c r="C38">
        <v>17</v>
      </c>
      <c r="E38" s="108" t="s">
        <v>216</v>
      </c>
      <c r="F38">
        <v>18</v>
      </c>
    </row>
    <row r="39" spans="2:8" x14ac:dyDescent="0.2">
      <c r="B39" s="4" t="s">
        <v>72</v>
      </c>
      <c r="C39">
        <v>12</v>
      </c>
      <c r="E39" s="108" t="s">
        <v>72</v>
      </c>
      <c r="F39">
        <v>8</v>
      </c>
    </row>
    <row r="40" spans="2:8" x14ac:dyDescent="0.2">
      <c r="B40" s="4" t="s">
        <v>409</v>
      </c>
      <c r="C40">
        <v>9</v>
      </c>
      <c r="E40" s="108" t="s">
        <v>409</v>
      </c>
      <c r="F40">
        <v>6</v>
      </c>
    </row>
    <row r="41" spans="2:8" x14ac:dyDescent="0.2">
      <c r="B41" t="s">
        <v>521</v>
      </c>
      <c r="C41">
        <v>11</v>
      </c>
      <c r="E41" s="108" t="s">
        <v>521</v>
      </c>
      <c r="F41">
        <v>6</v>
      </c>
    </row>
    <row r="42" spans="2:8" x14ac:dyDescent="0.2">
      <c r="B42" s="108" t="s">
        <v>77</v>
      </c>
      <c r="C42">
        <v>9</v>
      </c>
      <c r="E42" s="108" t="s">
        <v>77</v>
      </c>
      <c r="F42">
        <v>8</v>
      </c>
    </row>
    <row r="43" spans="2:8" x14ac:dyDescent="0.2">
      <c r="B43" s="108" t="s">
        <v>380</v>
      </c>
      <c r="C43">
        <v>10</v>
      </c>
      <c r="E43" s="108" t="s">
        <v>31</v>
      </c>
      <c r="F43">
        <v>8</v>
      </c>
    </row>
    <row r="44" spans="2:8" x14ac:dyDescent="0.2">
      <c r="B44" s="108" t="s">
        <v>391</v>
      </c>
      <c r="C44">
        <v>7</v>
      </c>
      <c r="E44" s="108" t="s">
        <v>32</v>
      </c>
      <c r="F44">
        <v>6</v>
      </c>
    </row>
    <row r="45" spans="2:8" x14ac:dyDescent="0.2">
      <c r="B45" s="108" t="s">
        <v>33</v>
      </c>
      <c r="C45">
        <v>16</v>
      </c>
      <c r="E45" s="108" t="s">
        <v>33</v>
      </c>
      <c r="F45">
        <v>16</v>
      </c>
    </row>
    <row r="46" spans="2:8" x14ac:dyDescent="0.2">
      <c r="B46" s="108" t="s">
        <v>327</v>
      </c>
      <c r="C46">
        <v>16</v>
      </c>
      <c r="E46" s="108" t="s">
        <v>70</v>
      </c>
    </row>
    <row r="47" spans="2:8" x14ac:dyDescent="0.2">
      <c r="B47" s="108" t="s">
        <v>610</v>
      </c>
      <c r="C47">
        <v>19</v>
      </c>
      <c r="E47" s="108" t="s">
        <v>838</v>
      </c>
    </row>
    <row r="48" spans="2:8" x14ac:dyDescent="0.2">
      <c r="B48" s="108" t="s">
        <v>655</v>
      </c>
      <c r="C48">
        <v>8</v>
      </c>
      <c r="E48" s="108" t="s">
        <v>35</v>
      </c>
    </row>
    <row r="49" spans="2:5" x14ac:dyDescent="0.2">
      <c r="B49" s="108" t="s">
        <v>537</v>
      </c>
      <c r="E49" s="108" t="s">
        <v>36</v>
      </c>
    </row>
    <row r="50" spans="2:5" x14ac:dyDescent="0.2">
      <c r="B50" s="192"/>
    </row>
    <row r="51" spans="2:5" x14ac:dyDescent="0.2">
      <c r="B51" s="108"/>
    </row>
  </sheetData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0C3E-1860-4098-B18F-E4EF6191B713}">
  <sheetPr codeName="Ark125">
    <pageSetUpPr fitToPage="1"/>
  </sheetPr>
  <dimension ref="B2:H59"/>
  <sheetViews>
    <sheetView topLeftCell="A6" workbookViewId="0">
      <selection activeCell="E45" sqref="E45"/>
    </sheetView>
  </sheetViews>
  <sheetFormatPr baseColWidth="10" defaultRowHeight="12.75" x14ac:dyDescent="0.2"/>
  <cols>
    <col min="1" max="1" width="6.28515625" customWidth="1"/>
    <col min="2" max="2" width="18.710937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4" t="s">
        <v>47</v>
      </c>
      <c r="F4" s="1" t="s">
        <v>19</v>
      </c>
      <c r="G4" s="12" t="s">
        <v>1</v>
      </c>
      <c r="H4" s="13"/>
    </row>
    <row r="5" spans="2:8" x14ac:dyDescent="0.2">
      <c r="B5" s="1" t="s">
        <v>18</v>
      </c>
      <c r="C5" s="4">
        <v>30308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94" t="s">
        <v>484</v>
      </c>
      <c r="H6" s="13"/>
    </row>
    <row r="7" spans="2:8" x14ac:dyDescent="0.2">
      <c r="B7" s="1"/>
      <c r="G7" s="94" t="s">
        <v>486</v>
      </c>
    </row>
    <row r="8" spans="2:8" x14ac:dyDescent="0.2">
      <c r="B8" s="8" t="s">
        <v>7</v>
      </c>
      <c r="G8" s="95" t="s">
        <v>485</v>
      </c>
    </row>
    <row r="9" spans="2:8" x14ac:dyDescent="0.2">
      <c r="B9" s="1" t="s">
        <v>8</v>
      </c>
      <c r="C9" s="4" t="s">
        <v>44</v>
      </c>
      <c r="G9" s="95" t="s">
        <v>487</v>
      </c>
    </row>
    <row r="10" spans="2:8" x14ac:dyDescent="0.2">
      <c r="B10" s="1" t="s">
        <v>9</v>
      </c>
      <c r="C10" s="11" t="s">
        <v>1</v>
      </c>
    </row>
    <row r="11" spans="2:8" x14ac:dyDescent="0.2">
      <c r="B11" s="1"/>
      <c r="F11" s="1" t="s">
        <v>540</v>
      </c>
    </row>
    <row r="12" spans="2:8" x14ac:dyDescent="0.2">
      <c r="B12" s="1" t="s">
        <v>16</v>
      </c>
      <c r="C12" s="11" t="s">
        <v>29</v>
      </c>
      <c r="F12" s="1" t="s">
        <v>535</v>
      </c>
      <c r="G12" t="s">
        <v>418</v>
      </c>
    </row>
    <row r="13" spans="2:8" x14ac:dyDescent="0.2">
      <c r="B13" s="1"/>
      <c r="G13" t="s">
        <v>314</v>
      </c>
    </row>
    <row r="14" spans="2:8" x14ac:dyDescent="0.2">
      <c r="B14" s="1"/>
      <c r="C14" s="13"/>
      <c r="G14" t="s">
        <v>538</v>
      </c>
    </row>
    <row r="15" spans="2:8" x14ac:dyDescent="0.2">
      <c r="B15" s="1" t="s">
        <v>11</v>
      </c>
      <c r="C15" s="13" t="s">
        <v>39</v>
      </c>
      <c r="G15" t="s">
        <v>539</v>
      </c>
    </row>
    <row r="16" spans="2:8" x14ac:dyDescent="0.2">
      <c r="B16" s="1" t="s">
        <v>20</v>
      </c>
      <c r="C16" s="13" t="s">
        <v>1</v>
      </c>
    </row>
    <row r="17" spans="2:8" x14ac:dyDescent="0.2">
      <c r="B17" s="1"/>
      <c r="C17" s="13"/>
      <c r="F17" s="108" t="s">
        <v>809</v>
      </c>
      <c r="G17">
        <v>3410</v>
      </c>
    </row>
    <row r="18" spans="2:8" x14ac:dyDescent="0.2">
      <c r="B18" s="1"/>
      <c r="C18" s="13"/>
    </row>
    <row r="19" spans="2:8" x14ac:dyDescent="0.2">
      <c r="B19" s="1"/>
    </row>
    <row r="20" spans="2:8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</row>
    <row r="21" spans="2:8" x14ac:dyDescent="0.2">
      <c r="H21" s="17"/>
    </row>
    <row r="22" spans="2:8" x14ac:dyDescent="0.2">
      <c r="B22" t="s">
        <v>482</v>
      </c>
      <c r="E22">
        <v>3</v>
      </c>
      <c r="F22" s="17">
        <v>3410</v>
      </c>
      <c r="G22" s="18"/>
      <c r="H22" s="17">
        <f>E22*F22</f>
        <v>10230</v>
      </c>
    </row>
    <row r="23" spans="2:8" x14ac:dyDescent="0.2">
      <c r="B23" t="s">
        <v>483</v>
      </c>
      <c r="F23" s="70" t="s">
        <v>1</v>
      </c>
      <c r="G23" s="18"/>
      <c r="H23" s="17"/>
    </row>
    <row r="24" spans="2:8" x14ac:dyDescent="0.2">
      <c r="F24" s="17"/>
      <c r="G24" s="18"/>
      <c r="H24" s="17"/>
    </row>
    <row r="25" spans="2:8" x14ac:dyDescent="0.2">
      <c r="F25" s="17"/>
      <c r="G25" s="18"/>
      <c r="H25" s="17"/>
    </row>
    <row r="26" spans="2:8" x14ac:dyDescent="0.2">
      <c r="F26" s="17"/>
      <c r="G26" s="18"/>
      <c r="H26" s="17"/>
    </row>
    <row r="27" spans="2:8" x14ac:dyDescent="0.2">
      <c r="B27" t="s">
        <v>1</v>
      </c>
      <c r="F27" s="17"/>
      <c r="G27" s="18"/>
      <c r="H27" s="17"/>
    </row>
    <row r="28" spans="2:8" x14ac:dyDescent="0.2">
      <c r="B28" s="8" t="s">
        <v>21</v>
      </c>
      <c r="C28" t="s">
        <v>1</v>
      </c>
      <c r="F28" s="17"/>
      <c r="G28" s="18"/>
      <c r="H28" s="17"/>
    </row>
    <row r="29" spans="2:8" x14ac:dyDescent="0.2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</row>
    <row r="30" spans="2:8" x14ac:dyDescent="0.2">
      <c r="B30" s="11"/>
      <c r="C30" s="11"/>
      <c r="D30" s="11"/>
      <c r="E30" s="11"/>
      <c r="F30" s="22"/>
      <c r="G30" s="22"/>
      <c r="H30" s="17"/>
    </row>
    <row r="31" spans="2:8" x14ac:dyDescent="0.2">
      <c r="B31" s="11"/>
      <c r="C31" s="11"/>
      <c r="D31" s="11"/>
      <c r="E31" s="11"/>
      <c r="F31" s="22"/>
      <c r="G31" s="22"/>
      <c r="H31" s="17"/>
    </row>
    <row r="32" spans="2:8" x14ac:dyDescent="0.2">
      <c r="F32" s="17"/>
      <c r="G32" s="17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10230</v>
      </c>
    </row>
    <row r="37" spans="2:8" x14ac:dyDescent="0.2">
      <c r="B37" s="194">
        <v>2026</v>
      </c>
      <c r="C37" s="196"/>
    </row>
    <row r="38" spans="2:8" x14ac:dyDescent="0.2">
      <c r="B38" s="195" t="s">
        <v>216</v>
      </c>
      <c r="C38" s="196">
        <v>82</v>
      </c>
    </row>
    <row r="39" spans="2:8" x14ac:dyDescent="0.2">
      <c r="B39" s="195" t="s">
        <v>348</v>
      </c>
      <c r="C39" s="196">
        <v>69</v>
      </c>
    </row>
    <row r="40" spans="2:8" x14ac:dyDescent="0.2">
      <c r="B40" s="196"/>
      <c r="C40" s="196"/>
    </row>
    <row r="41" spans="2:8" x14ac:dyDescent="0.2">
      <c r="B41" s="195" t="s">
        <v>521</v>
      </c>
      <c r="C41" s="196">
        <v>60</v>
      </c>
    </row>
    <row r="42" spans="2:8" x14ac:dyDescent="0.2">
      <c r="B42" s="196" t="s">
        <v>314</v>
      </c>
      <c r="C42" s="196">
        <v>36</v>
      </c>
    </row>
    <row r="43" spans="2:8" x14ac:dyDescent="0.2">
      <c r="B43" s="195" t="s">
        <v>31</v>
      </c>
      <c r="C43" s="196">
        <v>65</v>
      </c>
    </row>
    <row r="44" spans="2:8" x14ac:dyDescent="0.2">
      <c r="B44" s="196" t="s">
        <v>32</v>
      </c>
      <c r="C44" s="196"/>
    </row>
    <row r="45" spans="2:8" x14ac:dyDescent="0.2">
      <c r="B45" s="196" t="s">
        <v>358</v>
      </c>
      <c r="C45" s="196">
        <v>63</v>
      </c>
    </row>
    <row r="46" spans="2:8" x14ac:dyDescent="0.2">
      <c r="B46" s="196"/>
      <c r="C46" s="196"/>
    </row>
    <row r="47" spans="2:8" x14ac:dyDescent="0.2">
      <c r="B47" s="196"/>
      <c r="C47" s="196"/>
    </row>
    <row r="48" spans="2:8" x14ac:dyDescent="0.2">
      <c r="B48" s="196"/>
      <c r="C48" s="196"/>
    </row>
    <row r="49" spans="2:3" x14ac:dyDescent="0.2">
      <c r="B49" s="196"/>
      <c r="C49" s="196"/>
    </row>
    <row r="50" spans="2:3" x14ac:dyDescent="0.2">
      <c r="B50" s="196"/>
      <c r="C50" s="196"/>
    </row>
    <row r="51" spans="2:3" x14ac:dyDescent="0.2">
      <c r="B51" s="196"/>
      <c r="C51" s="196"/>
    </row>
    <row r="52" spans="2:3" x14ac:dyDescent="0.2">
      <c r="B52" s="196"/>
      <c r="C52" s="196"/>
    </row>
    <row r="53" spans="2:3" x14ac:dyDescent="0.2">
      <c r="B53" s="196"/>
      <c r="C53" s="196"/>
    </row>
    <row r="54" spans="2:3" x14ac:dyDescent="0.2">
      <c r="B54" s="196"/>
      <c r="C54" s="196"/>
    </row>
    <row r="55" spans="2:3" x14ac:dyDescent="0.2">
      <c r="B55" s="196"/>
      <c r="C55" s="196"/>
    </row>
    <row r="56" spans="2:3" x14ac:dyDescent="0.2">
      <c r="B56" s="196"/>
      <c r="C56" s="196"/>
    </row>
    <row r="57" spans="2:3" x14ac:dyDescent="0.2">
      <c r="B57" s="196"/>
      <c r="C57" s="196"/>
    </row>
    <row r="58" spans="2:3" x14ac:dyDescent="0.2">
      <c r="C58" s="196"/>
    </row>
    <row r="59" spans="2:3" x14ac:dyDescent="0.2">
      <c r="C59" s="196"/>
    </row>
  </sheetData>
  <phoneticPr fontId="2" type="noConversion"/>
  <pageMargins left="0.75" right="0.75" top="1" bottom="1" header="0.5" footer="0.5"/>
  <pageSetup paperSize="9" scale="94" orientation="portrait" horizontalDpi="300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6490-EE6E-4DA1-A743-C22632A0FAF0}">
  <sheetPr codeName="Ark48">
    <pageSetUpPr fitToPage="1"/>
  </sheetPr>
  <dimension ref="B2:H35"/>
  <sheetViews>
    <sheetView topLeftCell="B3" workbookViewId="0">
      <selection activeCell="D23" sqref="D23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4" t="s">
        <v>64</v>
      </c>
      <c r="F4" s="1" t="s">
        <v>19</v>
      </c>
      <c r="G4" s="12" t="s">
        <v>1</v>
      </c>
      <c r="H4" s="13"/>
    </row>
    <row r="5" spans="2:8" x14ac:dyDescent="0.2">
      <c r="B5" s="1" t="s">
        <v>18</v>
      </c>
      <c r="C5" s="4" t="s">
        <v>46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4" t="s">
        <v>1</v>
      </c>
    </row>
    <row r="10" spans="2:8" x14ac:dyDescent="0.2">
      <c r="B10" s="1" t="s">
        <v>9</v>
      </c>
      <c r="C10" s="11" t="s">
        <v>65</v>
      </c>
      <c r="F10" s="89" t="s">
        <v>50</v>
      </c>
    </row>
    <row r="11" spans="2:8" x14ac:dyDescent="0.2">
      <c r="B11" s="1"/>
    </row>
    <row r="12" spans="2:8" x14ac:dyDescent="0.2">
      <c r="B12" s="1" t="s">
        <v>16</v>
      </c>
      <c r="C12" s="11" t="s">
        <v>29</v>
      </c>
    </row>
    <row r="13" spans="2:8" x14ac:dyDescent="0.2">
      <c r="B13" s="1"/>
    </row>
    <row r="14" spans="2:8" x14ac:dyDescent="0.2">
      <c r="B14" s="1"/>
      <c r="C14" s="13"/>
    </row>
    <row r="15" spans="2:8" x14ac:dyDescent="0.2">
      <c r="B15" s="1" t="s">
        <v>11</v>
      </c>
      <c r="C15" s="13" t="s">
        <v>39</v>
      </c>
      <c r="F15" s="108" t="s">
        <v>799</v>
      </c>
      <c r="H15">
        <v>3010</v>
      </c>
    </row>
    <row r="16" spans="2:8" x14ac:dyDescent="0.2">
      <c r="B16" s="1" t="s">
        <v>20</v>
      </c>
      <c r="C16" s="13" t="s">
        <v>1</v>
      </c>
    </row>
    <row r="17" spans="2:8" x14ac:dyDescent="0.2">
      <c r="B17" s="1"/>
      <c r="C17" s="13"/>
    </row>
    <row r="18" spans="2:8" x14ac:dyDescent="0.2">
      <c r="B18" s="1"/>
      <c r="C18" s="13"/>
    </row>
    <row r="19" spans="2:8" x14ac:dyDescent="0.2">
      <c r="B19" s="1"/>
    </row>
    <row r="20" spans="2:8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</row>
    <row r="21" spans="2:8" x14ac:dyDescent="0.2">
      <c r="H21" s="17"/>
    </row>
    <row r="22" spans="2:8" x14ac:dyDescent="0.2">
      <c r="B22" s="49" t="s">
        <v>168</v>
      </c>
      <c r="E22">
        <v>1</v>
      </c>
      <c r="F22" s="17">
        <v>3010</v>
      </c>
      <c r="G22" s="18"/>
      <c r="H22" s="17">
        <f>E22*F22</f>
        <v>3010</v>
      </c>
    </row>
    <row r="23" spans="2:8" x14ac:dyDescent="0.2">
      <c r="D23">
        <v>42</v>
      </c>
      <c r="F23" s="17"/>
      <c r="G23" s="18"/>
      <c r="H23" s="17"/>
    </row>
    <row r="24" spans="2:8" x14ac:dyDescent="0.2">
      <c r="F24" s="17"/>
      <c r="G24" s="18"/>
      <c r="H24" s="17"/>
    </row>
    <row r="25" spans="2:8" x14ac:dyDescent="0.2">
      <c r="F25" s="17"/>
      <c r="G25" s="18"/>
      <c r="H25" s="17"/>
    </row>
    <row r="26" spans="2:8" x14ac:dyDescent="0.2">
      <c r="F26" s="17"/>
      <c r="G26" s="18"/>
      <c r="H26" s="17"/>
    </row>
    <row r="27" spans="2:8" x14ac:dyDescent="0.2">
      <c r="B27" t="s">
        <v>1</v>
      </c>
      <c r="F27" s="17"/>
      <c r="G27" s="18"/>
      <c r="H27" s="17"/>
    </row>
    <row r="28" spans="2:8" x14ac:dyDescent="0.2">
      <c r="B28" s="8" t="s">
        <v>21</v>
      </c>
      <c r="C28" t="s">
        <v>1</v>
      </c>
      <c r="F28" s="17"/>
      <c r="G28" s="18"/>
      <c r="H28" s="17"/>
    </row>
    <row r="29" spans="2:8" x14ac:dyDescent="0.2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</row>
    <row r="30" spans="2:8" x14ac:dyDescent="0.2">
      <c r="B30" s="11"/>
      <c r="C30" s="11"/>
      <c r="D30" s="11"/>
      <c r="E30" s="11"/>
      <c r="F30" s="22"/>
      <c r="G30" s="22"/>
      <c r="H30" s="17"/>
    </row>
    <row r="31" spans="2:8" x14ac:dyDescent="0.2">
      <c r="B31" s="11"/>
      <c r="C31" s="11"/>
      <c r="D31" s="11"/>
      <c r="E31" s="11"/>
      <c r="F31" s="22"/>
      <c r="G31" s="22"/>
      <c r="H31" s="17"/>
    </row>
    <row r="32" spans="2:8" x14ac:dyDescent="0.2">
      <c r="F32" s="17"/>
      <c r="G32" s="17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3010</v>
      </c>
    </row>
  </sheetData>
  <phoneticPr fontId="2" type="noConversion"/>
  <pageMargins left="0.75" right="0.75" top="1" bottom="1" header="0.5" footer="0.5"/>
  <pageSetup paperSize="9" scale="96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B606-23E6-4983-9258-268F299441FC}">
  <sheetPr codeName="Ark49">
    <pageSetUpPr fitToPage="1"/>
  </sheetPr>
  <dimension ref="B2:J56"/>
  <sheetViews>
    <sheetView topLeftCell="A5" workbookViewId="0">
      <selection activeCell="M52" sqref="M52"/>
    </sheetView>
  </sheetViews>
  <sheetFormatPr baseColWidth="10" defaultRowHeight="12.75" x14ac:dyDescent="0.2"/>
  <cols>
    <col min="1" max="1" width="4.7109375" customWidth="1"/>
    <col min="2" max="2" width="59.42578125" bestFit="1" customWidth="1"/>
    <col min="4" max="4" width="14.85546875" customWidth="1"/>
    <col min="6" max="6" width="12.5703125" customWidth="1"/>
    <col min="8" max="8" width="12.42578125" customWidth="1"/>
    <col min="9" max="9" width="13.425781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78</v>
      </c>
      <c r="F4" s="1" t="s">
        <v>19</v>
      </c>
      <c r="G4" s="12" t="s">
        <v>1</v>
      </c>
      <c r="H4" s="13"/>
    </row>
    <row r="5" spans="2:8" x14ac:dyDescent="0.2">
      <c r="B5" s="1"/>
      <c r="C5" s="4"/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 t="s">
        <v>1</v>
      </c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 t="s">
        <v>74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1</v>
      </c>
    </row>
    <row r="13" spans="2:8" x14ac:dyDescent="0.2">
      <c r="B13" s="1" t="s">
        <v>8</v>
      </c>
      <c r="C13" s="4" t="s">
        <v>1</v>
      </c>
      <c r="F13" t="s">
        <v>1</v>
      </c>
      <c r="G13" s="39" t="s">
        <v>79</v>
      </c>
    </row>
    <row r="14" spans="2:8" ht="15" x14ac:dyDescent="0.2">
      <c r="B14" s="1" t="s">
        <v>9</v>
      </c>
      <c r="D14" s="36" t="s">
        <v>507</v>
      </c>
      <c r="G14" t="s">
        <v>1</v>
      </c>
    </row>
    <row r="15" spans="2:8" x14ac:dyDescent="0.2">
      <c r="B15" s="1"/>
      <c r="C15" s="68" t="s">
        <v>1</v>
      </c>
      <c r="F15" t="s">
        <v>1</v>
      </c>
      <c r="G15" t="s">
        <v>1</v>
      </c>
    </row>
    <row r="16" spans="2:8" ht="20.25" x14ac:dyDescent="0.3">
      <c r="B16" s="1" t="s">
        <v>16</v>
      </c>
      <c r="C16" s="11" t="s">
        <v>29</v>
      </c>
      <c r="G16" s="55" t="s">
        <v>121</v>
      </c>
    </row>
    <row r="17" spans="2:10" x14ac:dyDescent="0.2">
      <c r="B17" s="1"/>
      <c r="F17" s="4" t="s">
        <v>1</v>
      </c>
      <c r="G17" t="s">
        <v>1</v>
      </c>
    </row>
    <row r="18" spans="2:10" ht="20.25" x14ac:dyDescent="0.3">
      <c r="B18" s="1"/>
      <c r="C18" s="13"/>
      <c r="G18" s="189" t="s">
        <v>515</v>
      </c>
      <c r="H18" s="40"/>
      <c r="I18" s="40"/>
    </row>
    <row r="19" spans="2:10" x14ac:dyDescent="0.2">
      <c r="B19" s="1" t="s">
        <v>11</v>
      </c>
      <c r="C19" s="13" t="s">
        <v>80</v>
      </c>
    </row>
    <row r="20" spans="2:10" x14ac:dyDescent="0.2">
      <c r="B20" s="1" t="s">
        <v>20</v>
      </c>
      <c r="C20" s="13" t="s">
        <v>1</v>
      </c>
      <c r="G20" s="32" t="s">
        <v>1</v>
      </c>
      <c r="H20" s="4" t="s">
        <v>1</v>
      </c>
    </row>
    <row r="21" spans="2:10" x14ac:dyDescent="0.2">
      <c r="B21" s="1"/>
      <c r="C21" s="13"/>
    </row>
    <row r="22" spans="2:10" x14ac:dyDescent="0.2">
      <c r="B22" s="1"/>
      <c r="C22" s="13"/>
      <c r="G22" t="s">
        <v>349</v>
      </c>
      <c r="I22" s="108" t="s">
        <v>819</v>
      </c>
      <c r="J22">
        <v>8110</v>
      </c>
    </row>
    <row r="23" spans="2:10" x14ac:dyDescent="0.2">
      <c r="B23" s="1"/>
    </row>
    <row r="24" spans="2:10" x14ac:dyDescent="0.2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</row>
    <row r="25" spans="2:10" x14ac:dyDescent="0.2">
      <c r="H25" s="17"/>
      <c r="J25" s="4" t="s">
        <v>1</v>
      </c>
    </row>
    <row r="26" spans="2:10" x14ac:dyDescent="0.2">
      <c r="B26" s="49" t="s">
        <v>168</v>
      </c>
      <c r="E26">
        <v>1</v>
      </c>
      <c r="F26" s="17">
        <v>8110</v>
      </c>
      <c r="G26" s="18"/>
      <c r="H26" s="17">
        <f>E26*F26</f>
        <v>8110</v>
      </c>
      <c r="J26" s="4" t="s">
        <v>1</v>
      </c>
    </row>
    <row r="27" spans="2:10" x14ac:dyDescent="0.2">
      <c r="B27" t="s">
        <v>350</v>
      </c>
      <c r="E27">
        <v>0</v>
      </c>
      <c r="F27" s="70">
        <v>18</v>
      </c>
      <c r="G27" s="18"/>
      <c r="H27" s="17">
        <f>E27*F27</f>
        <v>0</v>
      </c>
    </row>
    <row r="28" spans="2:10" x14ac:dyDescent="0.2">
      <c r="B28" s="108" t="s">
        <v>866</v>
      </c>
      <c r="E28">
        <v>1</v>
      </c>
      <c r="F28" s="17">
        <v>2500</v>
      </c>
      <c r="G28" s="18"/>
      <c r="H28" s="17">
        <v>2500</v>
      </c>
    </row>
    <row r="29" spans="2:10" x14ac:dyDescent="0.2">
      <c r="F29" s="17"/>
      <c r="G29" s="18"/>
      <c r="H29" s="17"/>
    </row>
    <row r="30" spans="2:10" x14ac:dyDescent="0.2">
      <c r="F30" s="17"/>
      <c r="G30" s="18"/>
      <c r="H30" s="17"/>
    </row>
    <row r="31" spans="2:10" x14ac:dyDescent="0.2">
      <c r="B31" t="s">
        <v>1</v>
      </c>
      <c r="F31" s="17"/>
      <c r="G31" s="18"/>
      <c r="H31" s="17"/>
    </row>
    <row r="32" spans="2:10" x14ac:dyDescent="0.2">
      <c r="B32" s="8" t="s">
        <v>21</v>
      </c>
      <c r="C32" t="s">
        <v>1</v>
      </c>
      <c r="F32" s="17"/>
      <c r="G32" s="18"/>
      <c r="H32" s="17"/>
    </row>
    <row r="33" spans="2:8" x14ac:dyDescent="0.2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</row>
    <row r="34" spans="2:8" x14ac:dyDescent="0.2">
      <c r="B34" s="11"/>
      <c r="C34" s="11"/>
      <c r="D34" s="11"/>
      <c r="E34" s="11"/>
      <c r="F34" s="22"/>
      <c r="G34" s="22"/>
      <c r="H34" s="17"/>
    </row>
    <row r="35" spans="2:8" x14ac:dyDescent="0.2">
      <c r="B35" s="11"/>
      <c r="C35" s="11"/>
      <c r="D35" s="11"/>
      <c r="E35" s="11"/>
      <c r="F35" s="22"/>
      <c r="G35" s="22"/>
      <c r="H35" s="17"/>
    </row>
    <row r="36" spans="2:8" x14ac:dyDescent="0.2">
      <c r="F36" s="17"/>
      <c r="G36" s="17"/>
      <c r="H36" s="17"/>
    </row>
    <row r="37" spans="2:8" x14ac:dyDescent="0.2">
      <c r="F37" s="17"/>
      <c r="G37" s="17"/>
      <c r="H37" s="17"/>
    </row>
    <row r="38" spans="2:8" x14ac:dyDescent="0.2">
      <c r="F38" s="17"/>
      <c r="G38" s="17"/>
      <c r="H38" s="17"/>
    </row>
    <row r="39" spans="2:8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10610</v>
      </c>
    </row>
    <row r="41" spans="2:8" x14ac:dyDescent="0.2">
      <c r="B41" s="28" t="s">
        <v>25</v>
      </c>
      <c r="C41" t="s">
        <v>1</v>
      </c>
    </row>
    <row r="42" spans="2:8" x14ac:dyDescent="0.2">
      <c r="B42" s="64" t="s">
        <v>309</v>
      </c>
      <c r="C42" s="26" t="s">
        <v>38</v>
      </c>
    </row>
    <row r="43" spans="2:8" x14ac:dyDescent="0.2">
      <c r="B43" s="64" t="s">
        <v>310</v>
      </c>
      <c r="C43" s="26" t="s">
        <v>28</v>
      </c>
    </row>
    <row r="45" spans="2:8" x14ac:dyDescent="0.2">
      <c r="B45" s="4" t="s">
        <v>369</v>
      </c>
    </row>
    <row r="46" spans="2:8" x14ac:dyDescent="0.2">
      <c r="B46" s="4" t="s">
        <v>370</v>
      </c>
    </row>
    <row r="47" spans="2:8" x14ac:dyDescent="0.2">
      <c r="B47" s="4" t="s">
        <v>371</v>
      </c>
      <c r="C47" s="4" t="s">
        <v>372</v>
      </c>
      <c r="D47">
        <v>6830</v>
      </c>
    </row>
    <row r="48" spans="2:8" x14ac:dyDescent="0.2">
      <c r="B48">
        <v>2021</v>
      </c>
      <c r="C48" s="4" t="s">
        <v>373</v>
      </c>
      <c r="D48">
        <v>6960</v>
      </c>
    </row>
    <row r="49" spans="2:6" x14ac:dyDescent="0.2">
      <c r="B49">
        <v>2022</v>
      </c>
      <c r="D49">
        <v>7190</v>
      </c>
    </row>
    <row r="50" spans="2:6" x14ac:dyDescent="0.2">
      <c r="B50">
        <v>2023</v>
      </c>
      <c r="D50">
        <v>7460</v>
      </c>
      <c r="F50" s="4" t="s">
        <v>1</v>
      </c>
    </row>
    <row r="51" spans="2:6" x14ac:dyDescent="0.2">
      <c r="B51">
        <v>2024</v>
      </c>
      <c r="D51">
        <v>7660</v>
      </c>
    </row>
    <row r="52" spans="2:6" x14ac:dyDescent="0.2">
      <c r="B52">
        <v>2025</v>
      </c>
      <c r="D52">
        <v>7864</v>
      </c>
    </row>
    <row r="53" spans="2:6" x14ac:dyDescent="0.2">
      <c r="B53">
        <v>2026</v>
      </c>
      <c r="D53">
        <v>8110</v>
      </c>
    </row>
    <row r="55" spans="2:6" x14ac:dyDescent="0.2">
      <c r="B55" s="4" t="s">
        <v>94</v>
      </c>
      <c r="C55" s="4" t="s">
        <v>372</v>
      </c>
      <c r="D55">
        <v>15</v>
      </c>
    </row>
    <row r="56" spans="2:6" x14ac:dyDescent="0.2">
      <c r="C56" s="4" t="s">
        <v>373</v>
      </c>
      <c r="D56">
        <v>16</v>
      </c>
      <c r="E56" s="4" t="s">
        <v>374</v>
      </c>
    </row>
  </sheetData>
  <phoneticPr fontId="2" type="noConversion"/>
  <hyperlinks>
    <hyperlink ref="G20" r:id="rId1" display="Invoice.no14@philips.com" xr:uid="{F64099D5-9205-426A-8915-AE2AD0E30B14}"/>
  </hyperlinks>
  <pageMargins left="0.74803149606299213" right="0.74803149606299213" top="0.98425196850393704" bottom="0.98425196850393704" header="0.51181102362204722" footer="0.51181102362204722"/>
  <pageSetup paperSize="9" scale="77" orientation="portrait" r:id="rId2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9052-D02A-4129-BA02-98F9380E1EC2}">
  <dimension ref="A2:J58"/>
  <sheetViews>
    <sheetView workbookViewId="0">
      <selection activeCell="X48" sqref="X48"/>
    </sheetView>
  </sheetViews>
  <sheetFormatPr baseColWidth="10" defaultRowHeight="12.75" x14ac:dyDescent="0.2"/>
  <sheetData>
    <row r="2" spans="1:10" x14ac:dyDescent="0.2">
      <c r="A2" s="1" t="s">
        <v>22</v>
      </c>
    </row>
    <row r="4" spans="1:10" x14ac:dyDescent="0.2">
      <c r="A4" t="s">
        <v>0</v>
      </c>
      <c r="B4" s="108" t="s">
        <v>844</v>
      </c>
      <c r="E4" t="s">
        <v>19</v>
      </c>
      <c r="F4" t="s">
        <v>30</v>
      </c>
    </row>
    <row r="5" spans="1:10" x14ac:dyDescent="0.2">
      <c r="A5" t="s">
        <v>18</v>
      </c>
      <c r="B5" t="s">
        <v>1</v>
      </c>
    </row>
    <row r="6" spans="1:10" ht="15" x14ac:dyDescent="0.25">
      <c r="B6" t="s">
        <v>1</v>
      </c>
      <c r="E6" t="s">
        <v>845</v>
      </c>
      <c r="F6" s="15" t="str">
        <f>Felles!B2</f>
        <v>Dato</v>
      </c>
      <c r="I6" s="169" t="s">
        <v>660</v>
      </c>
      <c r="J6" s="169" t="s">
        <v>661</v>
      </c>
    </row>
    <row r="7" spans="1:10" x14ac:dyDescent="0.2">
      <c r="I7" s="170" t="s">
        <v>662</v>
      </c>
      <c r="J7" s="171">
        <v>1500</v>
      </c>
    </row>
    <row r="8" spans="1:10" x14ac:dyDescent="0.2">
      <c r="A8" t="s">
        <v>7</v>
      </c>
      <c r="E8" s="4" t="s">
        <v>148</v>
      </c>
      <c r="I8" s="172" t="s">
        <v>663</v>
      </c>
      <c r="J8" s="173">
        <v>2280</v>
      </c>
    </row>
    <row r="9" spans="1:10" x14ac:dyDescent="0.2">
      <c r="A9" t="s">
        <v>8</v>
      </c>
      <c r="B9" s="108" t="s">
        <v>846</v>
      </c>
      <c r="I9" s="170" t="s">
        <v>664</v>
      </c>
      <c r="J9" s="171">
        <v>2870</v>
      </c>
    </row>
    <row r="10" spans="1:10" x14ac:dyDescent="0.2">
      <c r="A10" t="s">
        <v>9</v>
      </c>
      <c r="B10" t="s">
        <v>1</v>
      </c>
      <c r="F10" s="4" t="s">
        <v>1</v>
      </c>
      <c r="G10" s="1" t="s">
        <v>800</v>
      </c>
      <c r="I10" s="172" t="s">
        <v>665</v>
      </c>
      <c r="J10" s="173">
        <v>3260</v>
      </c>
    </row>
    <row r="11" spans="1:10" x14ac:dyDescent="0.2">
      <c r="E11" s="4"/>
      <c r="I11" s="170" t="s">
        <v>666</v>
      </c>
      <c r="J11" s="171">
        <v>3450</v>
      </c>
    </row>
    <row r="12" spans="1:10" x14ac:dyDescent="0.2">
      <c r="A12" t="s">
        <v>16</v>
      </c>
      <c r="B12" t="s">
        <v>29</v>
      </c>
      <c r="D12" s="188" t="s">
        <v>1</v>
      </c>
      <c r="E12" s="188"/>
      <c r="F12" s="188"/>
      <c r="G12" s="188"/>
      <c r="I12" s="172" t="s">
        <v>667</v>
      </c>
      <c r="J12" s="173">
        <v>3810</v>
      </c>
    </row>
    <row r="13" spans="1:10" x14ac:dyDescent="0.2">
      <c r="D13" s="188"/>
      <c r="E13" s="188"/>
      <c r="F13" s="188"/>
      <c r="G13" s="188"/>
      <c r="I13" s="170" t="s">
        <v>668</v>
      </c>
      <c r="J13" s="171">
        <v>4020</v>
      </c>
    </row>
    <row r="14" spans="1:10" x14ac:dyDescent="0.2">
      <c r="D14" s="188"/>
      <c r="E14" s="188"/>
      <c r="F14" s="188"/>
      <c r="G14" s="188"/>
      <c r="I14" s="172" t="s">
        <v>669</v>
      </c>
      <c r="J14" s="173">
        <v>4260</v>
      </c>
    </row>
    <row r="15" spans="1:10" x14ac:dyDescent="0.2">
      <c r="A15" t="s">
        <v>11</v>
      </c>
      <c r="B15" t="s">
        <v>17</v>
      </c>
      <c r="D15" s="188"/>
      <c r="E15" s="188"/>
      <c r="F15" s="188"/>
      <c r="G15" s="188"/>
      <c r="I15" s="170" t="s">
        <v>670</v>
      </c>
      <c r="J15" s="171">
        <v>4490</v>
      </c>
    </row>
    <row r="16" spans="1:10" x14ac:dyDescent="0.2">
      <c r="A16" t="s">
        <v>20</v>
      </c>
      <c r="B16" t="s">
        <v>24</v>
      </c>
      <c r="D16" s="188"/>
      <c r="E16" s="188"/>
      <c r="F16" s="188"/>
      <c r="G16" s="188"/>
      <c r="I16" s="172" t="s">
        <v>671</v>
      </c>
      <c r="J16" s="173">
        <v>4860</v>
      </c>
    </row>
    <row r="17" spans="1:10" x14ac:dyDescent="0.2">
      <c r="D17" s="188"/>
      <c r="E17" s="188"/>
      <c r="F17" s="188"/>
      <c r="G17" s="188"/>
      <c r="I17" s="170" t="s">
        <v>672</v>
      </c>
      <c r="J17" s="171">
        <v>5280</v>
      </c>
    </row>
    <row r="18" spans="1:10" x14ac:dyDescent="0.2">
      <c r="D18" s="188"/>
      <c r="E18" s="188"/>
      <c r="F18" s="188"/>
      <c r="G18" s="188"/>
      <c r="I18" s="172" t="s">
        <v>673</v>
      </c>
      <c r="J18" s="173">
        <v>5690</v>
      </c>
    </row>
    <row r="19" spans="1:10" x14ac:dyDescent="0.2">
      <c r="I19" s="170" t="s">
        <v>674</v>
      </c>
      <c r="J19" s="171">
        <v>6100</v>
      </c>
    </row>
    <row r="20" spans="1:10" x14ac:dyDescent="0.2">
      <c r="A20" t="s">
        <v>15</v>
      </c>
      <c r="D20" t="s">
        <v>12</v>
      </c>
      <c r="E20" t="s">
        <v>13</v>
      </c>
      <c r="G20" t="s">
        <v>14</v>
      </c>
      <c r="I20" s="172" t="s">
        <v>675</v>
      </c>
      <c r="J20" s="173">
        <v>6520</v>
      </c>
    </row>
    <row r="21" spans="1:10" x14ac:dyDescent="0.2">
      <c r="I21" s="170" t="s">
        <v>676</v>
      </c>
      <c r="J21" s="171">
        <v>6940</v>
      </c>
    </row>
    <row r="22" spans="1:10" x14ac:dyDescent="0.2">
      <c r="A22" s="49" t="s">
        <v>168</v>
      </c>
      <c r="D22">
        <v>1</v>
      </c>
      <c r="E22">
        <v>3260</v>
      </c>
      <c r="G22" s="4">
        <f>D22*E22</f>
        <v>3260</v>
      </c>
      <c r="I22" s="172" t="s">
        <v>677</v>
      </c>
      <c r="J22" s="173">
        <v>7370</v>
      </c>
    </row>
    <row r="23" spans="1:10" x14ac:dyDescent="0.2">
      <c r="I23" s="170" t="s">
        <v>678</v>
      </c>
      <c r="J23" s="171">
        <v>7790</v>
      </c>
    </row>
    <row r="24" spans="1:10" x14ac:dyDescent="0.2">
      <c r="A24" t="s">
        <v>1</v>
      </c>
      <c r="I24" s="172" t="s">
        <v>679</v>
      </c>
      <c r="J24" s="173">
        <v>8200</v>
      </c>
    </row>
    <row r="25" spans="1:10" x14ac:dyDescent="0.2">
      <c r="A25" s="4"/>
      <c r="G25" s="4"/>
      <c r="I25" s="170" t="s">
        <v>680</v>
      </c>
      <c r="J25" s="171">
        <v>8610</v>
      </c>
    </row>
    <row r="26" spans="1:10" x14ac:dyDescent="0.2">
      <c r="I26" s="172" t="s">
        <v>681</v>
      </c>
      <c r="J26" s="173">
        <v>9020</v>
      </c>
    </row>
    <row r="27" spans="1:10" x14ac:dyDescent="0.2">
      <c r="A27" s="1" t="s">
        <v>191</v>
      </c>
      <c r="B27" s="1"/>
      <c r="C27" s="1"/>
      <c r="D27" s="1"/>
      <c r="E27" s="1"/>
      <c r="F27" s="1"/>
      <c r="G27" s="1">
        <f>SUM(G22:G25)</f>
        <v>3260</v>
      </c>
      <c r="I27" s="170" t="s">
        <v>682</v>
      </c>
      <c r="J27" s="171">
        <v>9440</v>
      </c>
    </row>
    <row r="28" spans="1:10" x14ac:dyDescent="0.2">
      <c r="I28" s="172" t="s">
        <v>683</v>
      </c>
      <c r="J28" s="173">
        <v>9860</v>
      </c>
    </row>
    <row r="29" spans="1:10" x14ac:dyDescent="0.2">
      <c r="I29" s="170" t="s">
        <v>684</v>
      </c>
      <c r="J29" s="171">
        <v>10280</v>
      </c>
    </row>
    <row r="30" spans="1:10" x14ac:dyDescent="0.2">
      <c r="I30" s="172" t="s">
        <v>685</v>
      </c>
      <c r="J30" s="173">
        <v>10700</v>
      </c>
    </row>
    <row r="31" spans="1:10" x14ac:dyDescent="0.2">
      <c r="I31" s="170" t="s">
        <v>686</v>
      </c>
      <c r="J31" s="171">
        <v>11120</v>
      </c>
    </row>
    <row r="32" spans="1:10" x14ac:dyDescent="0.2">
      <c r="I32" s="172" t="s">
        <v>687</v>
      </c>
      <c r="J32" s="173">
        <v>11530</v>
      </c>
    </row>
    <row r="33" spans="9:10" x14ac:dyDescent="0.2">
      <c r="I33" s="170" t="s">
        <v>688</v>
      </c>
      <c r="J33" s="171">
        <v>11940</v>
      </c>
    </row>
    <row r="34" spans="9:10" x14ac:dyDescent="0.2">
      <c r="I34" s="172" t="s">
        <v>689</v>
      </c>
      <c r="J34" s="173">
        <v>12350</v>
      </c>
    </row>
    <row r="35" spans="9:10" x14ac:dyDescent="0.2">
      <c r="I35" s="170" t="s">
        <v>690</v>
      </c>
      <c r="J35" s="171">
        <v>12760</v>
      </c>
    </row>
    <row r="36" spans="9:10" x14ac:dyDescent="0.2">
      <c r="I36" s="172" t="s">
        <v>691</v>
      </c>
      <c r="J36" s="173">
        <v>13180</v>
      </c>
    </row>
    <row r="37" spans="9:10" x14ac:dyDescent="0.2">
      <c r="I37" s="170" t="s">
        <v>692</v>
      </c>
      <c r="J37" s="171">
        <v>13610</v>
      </c>
    </row>
    <row r="38" spans="9:10" x14ac:dyDescent="0.2">
      <c r="I38" s="172" t="s">
        <v>693</v>
      </c>
      <c r="J38" s="173">
        <v>14030</v>
      </c>
    </row>
    <row r="39" spans="9:10" x14ac:dyDescent="0.2">
      <c r="I39" s="170" t="s">
        <v>694</v>
      </c>
      <c r="J39" s="171">
        <v>14450</v>
      </c>
    </row>
    <row r="40" spans="9:10" x14ac:dyDescent="0.2">
      <c r="I40" s="172" t="s">
        <v>695</v>
      </c>
      <c r="J40" s="173">
        <v>14870</v>
      </c>
    </row>
    <row r="41" spans="9:10" x14ac:dyDescent="0.2">
      <c r="I41" s="170" t="s">
        <v>696</v>
      </c>
      <c r="J41" s="171">
        <v>15290</v>
      </c>
    </row>
    <row r="42" spans="9:10" x14ac:dyDescent="0.2">
      <c r="I42" s="172" t="s">
        <v>697</v>
      </c>
      <c r="J42" s="173">
        <v>15710</v>
      </c>
    </row>
    <row r="43" spans="9:10" x14ac:dyDescent="0.2">
      <c r="I43" s="170" t="s">
        <v>698</v>
      </c>
      <c r="J43" s="171">
        <v>16130</v>
      </c>
    </row>
    <row r="44" spans="9:10" x14ac:dyDescent="0.2">
      <c r="I44" s="172" t="s">
        <v>699</v>
      </c>
      <c r="J44" s="173">
        <v>16540</v>
      </c>
    </row>
    <row r="45" spans="9:10" x14ac:dyDescent="0.2">
      <c r="I45" s="170" t="s">
        <v>700</v>
      </c>
      <c r="J45" s="171">
        <v>16960</v>
      </c>
    </row>
    <row r="46" spans="9:10" x14ac:dyDescent="0.2">
      <c r="I46" s="172" t="s">
        <v>701</v>
      </c>
      <c r="J46" s="173">
        <v>17380</v>
      </c>
    </row>
    <row r="47" spans="9:10" x14ac:dyDescent="0.2">
      <c r="I47" s="170" t="s">
        <v>702</v>
      </c>
      <c r="J47" s="171">
        <v>17800</v>
      </c>
    </row>
    <row r="48" spans="9:10" x14ac:dyDescent="0.2">
      <c r="I48" s="172" t="s">
        <v>703</v>
      </c>
      <c r="J48" s="173">
        <v>18220</v>
      </c>
    </row>
    <row r="49" spans="9:10" x14ac:dyDescent="0.2">
      <c r="I49" s="170" t="s">
        <v>704</v>
      </c>
      <c r="J49" s="171">
        <v>18640</v>
      </c>
    </row>
    <row r="50" spans="9:10" x14ac:dyDescent="0.2">
      <c r="I50" s="172" t="s">
        <v>705</v>
      </c>
      <c r="J50" s="173">
        <v>19060</v>
      </c>
    </row>
    <row r="51" spans="9:10" x14ac:dyDescent="0.2">
      <c r="I51" s="170" t="s">
        <v>706</v>
      </c>
      <c r="J51" s="171">
        <v>19470</v>
      </c>
    </row>
    <row r="52" spans="9:10" x14ac:dyDescent="0.2">
      <c r="I52" s="172" t="s">
        <v>707</v>
      </c>
      <c r="J52" s="173">
        <v>19880</v>
      </c>
    </row>
    <row r="53" spans="9:10" x14ac:dyDescent="0.2">
      <c r="I53" s="170" t="s">
        <v>708</v>
      </c>
      <c r="J53" s="171">
        <v>20330</v>
      </c>
    </row>
    <row r="54" spans="9:10" x14ac:dyDescent="0.2">
      <c r="I54" s="172" t="s">
        <v>709</v>
      </c>
      <c r="J54" s="173">
        <v>20900</v>
      </c>
    </row>
    <row r="55" spans="9:10" x14ac:dyDescent="0.2">
      <c r="I55" s="170" t="s">
        <v>710</v>
      </c>
      <c r="J55" s="171">
        <v>21470</v>
      </c>
    </row>
    <row r="56" spans="9:10" x14ac:dyDescent="0.2">
      <c r="I56" s="172" t="s">
        <v>711</v>
      </c>
      <c r="J56" s="173">
        <v>22040</v>
      </c>
    </row>
    <row r="57" spans="9:10" x14ac:dyDescent="0.2">
      <c r="I57" s="170" t="s">
        <v>712</v>
      </c>
      <c r="J57" s="171">
        <v>22430</v>
      </c>
    </row>
    <row r="58" spans="9:10" x14ac:dyDescent="0.2">
      <c r="I58" s="172" t="s">
        <v>713</v>
      </c>
      <c r="J58" s="173">
        <v>22640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0D14-1C2C-4CAA-9A9A-335098E36326}">
  <sheetPr codeName="Ark51">
    <pageSetUpPr fitToPage="1"/>
  </sheetPr>
  <dimension ref="B2:J35"/>
  <sheetViews>
    <sheetView workbookViewId="0">
      <selection activeCell="L31" sqref="L31"/>
    </sheetView>
  </sheetViews>
  <sheetFormatPr baseColWidth="10" defaultRowHeight="12.75" x14ac:dyDescent="0.2"/>
  <cols>
    <col min="1" max="1" width="8.140625" customWidth="1"/>
    <col min="2" max="2" width="17.42578125" customWidth="1"/>
  </cols>
  <sheetData>
    <row r="2" spans="2:10" ht="20.25" x14ac:dyDescent="0.3">
      <c r="B2" s="10" t="s">
        <v>22</v>
      </c>
    </row>
    <row r="4" spans="2:10" x14ac:dyDescent="0.2">
      <c r="B4" s="1" t="s">
        <v>0</v>
      </c>
      <c r="C4" s="4" t="s">
        <v>92</v>
      </c>
      <c r="F4" s="1" t="s">
        <v>19</v>
      </c>
      <c r="G4" s="12" t="s">
        <v>30</v>
      </c>
      <c r="H4" s="13"/>
    </row>
    <row r="5" spans="2:10" x14ac:dyDescent="0.2">
      <c r="B5" s="1" t="s">
        <v>18</v>
      </c>
      <c r="C5" s="4">
        <v>31787</v>
      </c>
      <c r="F5" s="1"/>
      <c r="G5" s="1"/>
      <c r="H5" s="13"/>
    </row>
    <row r="6" spans="2:10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10" x14ac:dyDescent="0.2">
      <c r="B7" s="1"/>
    </row>
    <row r="8" spans="2:10" x14ac:dyDescent="0.2">
      <c r="B8" s="8" t="s">
        <v>7</v>
      </c>
      <c r="F8" s="4" t="s">
        <v>98</v>
      </c>
    </row>
    <row r="9" spans="2:10" x14ac:dyDescent="0.2">
      <c r="B9" s="1" t="s">
        <v>8</v>
      </c>
      <c r="C9" s="59" t="s">
        <v>129</v>
      </c>
    </row>
    <row r="10" spans="2:10" x14ac:dyDescent="0.2">
      <c r="B10" s="1" t="s">
        <v>9</v>
      </c>
      <c r="C10" s="11" t="s">
        <v>1</v>
      </c>
      <c r="G10" s="4" t="s">
        <v>96</v>
      </c>
      <c r="H10" s="4" t="s">
        <v>93</v>
      </c>
      <c r="I10" s="108" t="s">
        <v>820</v>
      </c>
      <c r="J10">
        <v>515</v>
      </c>
    </row>
    <row r="11" spans="2:10" x14ac:dyDescent="0.2">
      <c r="B11" s="1"/>
      <c r="G11" s="4" t="s">
        <v>94</v>
      </c>
      <c r="H11" s="4" t="s">
        <v>95</v>
      </c>
      <c r="J11">
        <v>42</v>
      </c>
    </row>
    <row r="12" spans="2:10" x14ac:dyDescent="0.2">
      <c r="B12" s="1" t="s">
        <v>16</v>
      </c>
      <c r="C12" s="38" t="s">
        <v>97</v>
      </c>
    </row>
    <row r="13" spans="2:10" x14ac:dyDescent="0.2">
      <c r="B13" s="1"/>
      <c r="F13" s="8" t="s">
        <v>114</v>
      </c>
    </row>
    <row r="14" spans="2:10" x14ac:dyDescent="0.2">
      <c r="B14" s="1"/>
      <c r="C14" s="13"/>
    </row>
    <row r="15" spans="2:10" x14ac:dyDescent="0.2">
      <c r="B15" s="1" t="s">
        <v>11</v>
      </c>
      <c r="C15" s="13" t="s">
        <v>39</v>
      </c>
    </row>
    <row r="16" spans="2:10" x14ac:dyDescent="0.2">
      <c r="B16" s="1" t="s">
        <v>20</v>
      </c>
      <c r="C16" s="13" t="s">
        <v>1</v>
      </c>
    </row>
    <row r="17" spans="2:8" x14ac:dyDescent="0.2">
      <c r="B17" s="1"/>
      <c r="C17" s="13"/>
    </row>
    <row r="18" spans="2:8" x14ac:dyDescent="0.2">
      <c r="B18" s="1"/>
      <c r="C18" s="13"/>
    </row>
    <row r="19" spans="2:8" x14ac:dyDescent="0.2">
      <c r="B19" s="1"/>
    </row>
    <row r="20" spans="2:8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</row>
    <row r="21" spans="2:8" x14ac:dyDescent="0.2">
      <c r="H21" s="17"/>
    </row>
    <row r="22" spans="2:8" x14ac:dyDescent="0.2">
      <c r="B22" s="49" t="s">
        <v>180</v>
      </c>
      <c r="E22">
        <v>1</v>
      </c>
      <c r="F22" s="17">
        <v>515</v>
      </c>
      <c r="G22" s="18"/>
      <c r="H22" s="17">
        <f>E22*F22</f>
        <v>515</v>
      </c>
    </row>
    <row r="23" spans="2:8" x14ac:dyDescent="0.2">
      <c r="B23" s="4" t="s">
        <v>99</v>
      </c>
      <c r="E23">
        <v>15</v>
      </c>
      <c r="F23" s="17">
        <v>42</v>
      </c>
      <c r="G23" s="18"/>
      <c r="H23" s="17">
        <f>E23*F23</f>
        <v>630</v>
      </c>
    </row>
    <row r="24" spans="2:8" x14ac:dyDescent="0.2">
      <c r="B24" s="49"/>
      <c r="F24" s="17"/>
      <c r="G24" s="18"/>
      <c r="H24" s="17"/>
    </row>
    <row r="25" spans="2:8" x14ac:dyDescent="0.2">
      <c r="B25" s="108" t="s">
        <v>561</v>
      </c>
      <c r="F25" s="17" t="s">
        <v>1</v>
      </c>
      <c r="G25" s="18"/>
      <c r="H25" s="17"/>
    </row>
    <row r="26" spans="2:8" x14ac:dyDescent="0.2">
      <c r="F26" s="17"/>
      <c r="G26" s="18"/>
      <c r="H26" s="17"/>
    </row>
    <row r="27" spans="2:8" x14ac:dyDescent="0.2">
      <c r="B27" t="s">
        <v>1</v>
      </c>
      <c r="F27" s="17"/>
      <c r="G27" s="18"/>
      <c r="H27" s="17"/>
    </row>
    <row r="28" spans="2:8" x14ac:dyDescent="0.2">
      <c r="B28" s="8" t="s">
        <v>21</v>
      </c>
      <c r="C28" t="s">
        <v>1</v>
      </c>
      <c r="F28" s="17"/>
      <c r="G28" s="18"/>
      <c r="H28" s="17"/>
    </row>
    <row r="29" spans="2:8" x14ac:dyDescent="0.2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</row>
    <row r="30" spans="2:8" x14ac:dyDescent="0.2">
      <c r="B30" s="11"/>
      <c r="C30" s="11"/>
      <c r="D30" s="11"/>
      <c r="E30" s="11"/>
      <c r="F30" s="22"/>
      <c r="G30" s="22"/>
      <c r="H30" s="17"/>
    </row>
    <row r="31" spans="2:8" x14ac:dyDescent="0.2">
      <c r="B31" s="11"/>
      <c r="C31" s="11"/>
      <c r="D31" s="11"/>
      <c r="E31" s="11"/>
      <c r="F31" s="22"/>
      <c r="G31" s="22"/>
      <c r="H31" s="17"/>
    </row>
    <row r="32" spans="2:8" x14ac:dyDescent="0.2">
      <c r="F32" s="17"/>
      <c r="G32" s="17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1145</v>
      </c>
    </row>
  </sheetData>
  <phoneticPr fontId="2" type="noConversion"/>
  <pageMargins left="0.75" right="0.75" top="1" bottom="1" header="0.5" footer="0.5"/>
  <pageSetup paperSize="9" scale="83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39FB-EA9F-481F-98F2-4C8F041D6DAE}">
  <sheetPr codeName="Ark53">
    <pageSetUpPr fitToPage="1"/>
  </sheetPr>
  <dimension ref="B2:K29"/>
  <sheetViews>
    <sheetView workbookViewId="0">
      <selection activeCell="K12" sqref="K12:K16"/>
    </sheetView>
  </sheetViews>
  <sheetFormatPr baseColWidth="10" defaultRowHeight="12.75" x14ac:dyDescent="0.2"/>
  <sheetData>
    <row r="2" spans="2:11" ht="20.25" x14ac:dyDescent="0.3">
      <c r="B2" s="10" t="s">
        <v>22</v>
      </c>
    </row>
    <row r="4" spans="2:11" x14ac:dyDescent="0.2">
      <c r="B4" s="1" t="s">
        <v>0</v>
      </c>
      <c r="C4" s="11" t="s">
        <v>315</v>
      </c>
      <c r="F4" s="1" t="s">
        <v>19</v>
      </c>
      <c r="G4" s="12" t="s">
        <v>30</v>
      </c>
      <c r="H4" s="13"/>
    </row>
    <row r="5" spans="2:11" x14ac:dyDescent="0.2">
      <c r="B5" s="1" t="s">
        <v>18</v>
      </c>
      <c r="C5" s="4">
        <v>32875</v>
      </c>
      <c r="F5" s="1"/>
      <c r="G5" s="1"/>
      <c r="H5" s="13"/>
    </row>
    <row r="6" spans="2:11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11" x14ac:dyDescent="0.2">
      <c r="B7" s="1"/>
    </row>
    <row r="8" spans="2:11" x14ac:dyDescent="0.2">
      <c r="B8" s="8" t="s">
        <v>7</v>
      </c>
      <c r="F8" s="49" t="s">
        <v>316</v>
      </c>
    </row>
    <row r="9" spans="2:11" x14ac:dyDescent="0.2">
      <c r="B9" s="1" t="s">
        <v>8</v>
      </c>
      <c r="C9" s="38" t="s">
        <v>320</v>
      </c>
    </row>
    <row r="10" spans="2:11" x14ac:dyDescent="0.2">
      <c r="B10" s="1" t="s">
        <v>9</v>
      </c>
      <c r="C10" s="12" t="s">
        <v>334</v>
      </c>
      <c r="F10" s="32" t="s">
        <v>317</v>
      </c>
      <c r="G10" s="40"/>
    </row>
    <row r="11" spans="2:11" x14ac:dyDescent="0.2">
      <c r="B11" s="1"/>
    </row>
    <row r="12" spans="2:11" x14ac:dyDescent="0.2">
      <c r="B12" s="1" t="s">
        <v>16</v>
      </c>
      <c r="C12" s="11" t="s">
        <v>29</v>
      </c>
      <c r="F12" s="62" t="s">
        <v>79</v>
      </c>
      <c r="I12" s="1">
        <v>2024</v>
      </c>
      <c r="J12" s="1">
        <v>2025</v>
      </c>
      <c r="K12" s="1" t="s">
        <v>877</v>
      </c>
    </row>
    <row r="13" spans="2:11" x14ac:dyDescent="0.2">
      <c r="B13" s="1"/>
      <c r="F13" s="87" t="s">
        <v>195</v>
      </c>
      <c r="G13">
        <v>6650</v>
      </c>
      <c r="H13">
        <v>6790</v>
      </c>
      <c r="I13">
        <v>6990</v>
      </c>
      <c r="J13">
        <v>7190</v>
      </c>
      <c r="K13">
        <v>7410</v>
      </c>
    </row>
    <row r="14" spans="2:11" x14ac:dyDescent="0.2">
      <c r="B14" s="1"/>
      <c r="C14" s="13"/>
      <c r="F14" s="33" t="s">
        <v>318</v>
      </c>
      <c r="G14">
        <v>9650</v>
      </c>
      <c r="H14">
        <v>9870</v>
      </c>
      <c r="I14">
        <v>9939</v>
      </c>
      <c r="J14">
        <v>10237</v>
      </c>
      <c r="K14">
        <v>10550</v>
      </c>
    </row>
    <row r="15" spans="2:11" x14ac:dyDescent="0.2">
      <c r="B15" s="1" t="s">
        <v>11</v>
      </c>
      <c r="C15" s="13" t="s">
        <v>17</v>
      </c>
      <c r="F15" s="33" t="s">
        <v>51</v>
      </c>
      <c r="G15">
        <v>12650</v>
      </c>
      <c r="H15">
        <v>12940</v>
      </c>
      <c r="I15">
        <v>13029</v>
      </c>
      <c r="J15">
        <v>13419</v>
      </c>
      <c r="K15">
        <v>13830</v>
      </c>
    </row>
    <row r="16" spans="2:11" x14ac:dyDescent="0.2">
      <c r="B16" s="1" t="s">
        <v>20</v>
      </c>
      <c r="C16" s="20" t="s">
        <v>24</v>
      </c>
      <c r="F16" s="33" t="s">
        <v>52</v>
      </c>
      <c r="G16">
        <v>15650</v>
      </c>
      <c r="H16">
        <v>16010</v>
      </c>
      <c r="I16">
        <v>16490</v>
      </c>
      <c r="J16">
        <v>16984</v>
      </c>
      <c r="K16">
        <v>17510</v>
      </c>
    </row>
    <row r="17" spans="2:9" x14ac:dyDescent="0.2">
      <c r="B17" s="1"/>
      <c r="C17" s="13"/>
      <c r="F17" s="4" t="s">
        <v>321</v>
      </c>
    </row>
    <row r="18" spans="2:9" x14ac:dyDescent="0.2">
      <c r="B18" s="1"/>
      <c r="C18" s="13"/>
      <c r="F18" t="s">
        <v>319</v>
      </c>
      <c r="I18" s="40"/>
    </row>
    <row r="19" spans="2:9" x14ac:dyDescent="0.2">
      <c r="B19" s="1"/>
    </row>
    <row r="20" spans="2:9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</row>
    <row r="21" spans="2:9" x14ac:dyDescent="0.2">
      <c r="H21" s="17"/>
    </row>
    <row r="22" spans="2:9" x14ac:dyDescent="0.2">
      <c r="B22" t="s">
        <v>1</v>
      </c>
      <c r="F22" s="17"/>
      <c r="G22" s="18"/>
      <c r="H22" s="17"/>
      <c r="I22" s="4" t="s">
        <v>1</v>
      </c>
    </row>
    <row r="23" spans="2:9" x14ac:dyDescent="0.2">
      <c r="B23" s="49" t="s">
        <v>163</v>
      </c>
      <c r="D23" t="str">
        <f>Felles!C4</f>
        <v>August</v>
      </c>
      <c r="E23">
        <v>1</v>
      </c>
      <c r="F23" s="17">
        <v>7410</v>
      </c>
      <c r="G23" s="18"/>
      <c r="H23" s="17">
        <f>SUM(E23)*F23</f>
        <v>7410</v>
      </c>
    </row>
    <row r="24" spans="2:9" x14ac:dyDescent="0.2">
      <c r="B24" t="s">
        <v>1</v>
      </c>
      <c r="D24">
        <v>31</v>
      </c>
      <c r="F24" s="17"/>
      <c r="G24" s="18"/>
      <c r="H24" s="17"/>
    </row>
    <row r="25" spans="2:9" x14ac:dyDescent="0.2">
      <c r="B25" s="26"/>
      <c r="C25" s="26"/>
      <c r="D25" s="26"/>
      <c r="E25" s="64" t="s">
        <v>1</v>
      </c>
      <c r="F25" s="27"/>
      <c r="G25" s="27"/>
      <c r="H25" s="17"/>
    </row>
    <row r="26" spans="2:9" x14ac:dyDescent="0.2">
      <c r="F26" s="17"/>
      <c r="G26" s="17"/>
      <c r="H26" s="17"/>
    </row>
    <row r="27" spans="2:9" x14ac:dyDescent="0.2">
      <c r="F27" s="17"/>
      <c r="G27" s="17"/>
      <c r="H27" s="17"/>
    </row>
    <row r="28" spans="2:9" x14ac:dyDescent="0.2">
      <c r="F28" s="17"/>
      <c r="G28" s="17"/>
      <c r="H28" s="17"/>
    </row>
    <row r="29" spans="2:9" ht="15.75" x14ac:dyDescent="0.25">
      <c r="B29" s="3" t="s">
        <v>23</v>
      </c>
      <c r="C29" s="3"/>
      <c r="D29" s="3"/>
      <c r="E29" s="3"/>
      <c r="F29" s="19"/>
      <c r="G29" s="19"/>
      <c r="H29" s="19">
        <f>SUM(H22:H28)</f>
        <v>7410</v>
      </c>
    </row>
  </sheetData>
  <hyperlinks>
    <hyperlink ref="F10" r:id="rId1" xr:uid="{A0ACE2E5-9ED0-4623-A82F-1E9F1D0EDA6F}"/>
  </hyperlinks>
  <pageMargins left="0.70866141732283472" right="0.70866141732283472" top="0.74803149606299213" bottom="0.74803149606299213" header="0.31496062992125984" footer="0.31496062992125984"/>
  <pageSetup paperSize="9" scale="78" orientation="portrait"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2D54-46D1-443D-8588-FC6851325957}">
  <sheetPr codeName="Ark52">
    <pageSetUpPr fitToPage="1"/>
  </sheetPr>
  <dimension ref="B2:H33"/>
  <sheetViews>
    <sheetView topLeftCell="A12" workbookViewId="0">
      <selection activeCell="H43" sqref="H43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53" t="s">
        <v>192</v>
      </c>
      <c r="F4" s="1" t="s">
        <v>19</v>
      </c>
      <c r="G4" s="12" t="s">
        <v>1</v>
      </c>
      <c r="H4" s="13"/>
    </row>
    <row r="5" spans="2:8" x14ac:dyDescent="0.2">
      <c r="B5" s="1"/>
      <c r="C5" s="4" t="s">
        <v>1</v>
      </c>
      <c r="F5" s="1"/>
      <c r="G5" s="12"/>
      <c r="H5" s="13"/>
    </row>
    <row r="6" spans="2:8" x14ac:dyDescent="0.2">
      <c r="B6" s="1"/>
      <c r="C6" s="4" t="s">
        <v>1</v>
      </c>
      <c r="F6" s="1"/>
      <c r="G6" s="12"/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0" t="s">
        <v>1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s="49" t="s">
        <v>91</v>
      </c>
      <c r="G12" s="61" t="s">
        <v>186</v>
      </c>
    </row>
    <row r="13" spans="2:8" x14ac:dyDescent="0.2">
      <c r="B13" s="1" t="s">
        <v>8</v>
      </c>
      <c r="C13" s="108" t="s">
        <v>548</v>
      </c>
      <c r="F13" t="s">
        <v>1</v>
      </c>
    </row>
    <row r="14" spans="2:8" x14ac:dyDescent="0.2">
      <c r="B14" s="1" t="s">
        <v>9</v>
      </c>
      <c r="C14" s="11" t="s">
        <v>1</v>
      </c>
      <c r="F14" t="s">
        <v>1</v>
      </c>
    </row>
    <row r="15" spans="2:8" x14ac:dyDescent="0.2">
      <c r="B15" s="1"/>
      <c r="F15" s="20" t="s">
        <v>187</v>
      </c>
    </row>
    <row r="16" spans="2:8" x14ac:dyDescent="0.2">
      <c r="B16" s="1" t="s">
        <v>16</v>
      </c>
      <c r="C16" s="11" t="s">
        <v>29</v>
      </c>
    </row>
    <row r="17" spans="2:8" x14ac:dyDescent="0.2">
      <c r="B17" s="1"/>
      <c r="F17" s="69" t="s">
        <v>188</v>
      </c>
    </row>
    <row r="18" spans="2:8" x14ac:dyDescent="0.2">
      <c r="B18" s="1"/>
      <c r="C18" s="13"/>
      <c r="F18" s="1" t="s">
        <v>547</v>
      </c>
    </row>
    <row r="19" spans="2:8" x14ac:dyDescent="0.2">
      <c r="B19" s="1" t="s">
        <v>11</v>
      </c>
      <c r="C19" s="13" t="s">
        <v>39</v>
      </c>
      <c r="F19" s="49" t="s">
        <v>195</v>
      </c>
    </row>
    <row r="20" spans="2:8" x14ac:dyDescent="0.2">
      <c r="B20" s="1" t="s">
        <v>20</v>
      </c>
      <c r="C20" s="13" t="s">
        <v>1</v>
      </c>
    </row>
    <row r="21" spans="2:8" x14ac:dyDescent="0.2">
      <c r="B21" s="1"/>
      <c r="C21" s="13"/>
      <c r="F21" t="s">
        <v>351</v>
      </c>
    </row>
    <row r="22" spans="2:8" x14ac:dyDescent="0.2">
      <c r="B22" s="1"/>
      <c r="C22" s="13"/>
    </row>
    <row r="23" spans="2:8" x14ac:dyDescent="0.2">
      <c r="B23" s="1"/>
      <c r="C23" s="13"/>
      <c r="F23" s="108" t="s">
        <v>821</v>
      </c>
    </row>
    <row r="24" spans="2:8" x14ac:dyDescent="0.2">
      <c r="B24" s="1"/>
      <c r="C24" s="13"/>
    </row>
    <row r="25" spans="2:8" x14ac:dyDescent="0.2">
      <c r="B25" s="1"/>
      <c r="C25" s="13"/>
    </row>
    <row r="26" spans="2:8" x14ac:dyDescent="0.2">
      <c r="B26" s="1"/>
    </row>
    <row r="27" spans="2:8" x14ac:dyDescent="0.2">
      <c r="B27" s="8" t="s">
        <v>15</v>
      </c>
      <c r="C27" s="2"/>
      <c r="E27" s="21" t="s">
        <v>12</v>
      </c>
      <c r="F27" s="21" t="s">
        <v>13</v>
      </c>
      <c r="G27" s="8"/>
      <c r="H27" s="16" t="s">
        <v>14</v>
      </c>
    </row>
    <row r="28" spans="2:8" x14ac:dyDescent="0.2">
      <c r="H28" s="17"/>
    </row>
    <row r="29" spans="2:8" x14ac:dyDescent="0.2">
      <c r="B29" s="49" t="s">
        <v>168</v>
      </c>
      <c r="D29" s="108" t="s">
        <v>418</v>
      </c>
      <c r="E29">
        <v>1</v>
      </c>
      <c r="F29" s="17">
        <v>199</v>
      </c>
      <c r="G29" s="18"/>
      <c r="H29" s="17">
        <f>E29*F29</f>
        <v>199</v>
      </c>
    </row>
    <row r="30" spans="2:8" x14ac:dyDescent="0.2">
      <c r="B30" s="49" t="s">
        <v>211</v>
      </c>
      <c r="E30">
        <v>3</v>
      </c>
      <c r="F30" s="17">
        <v>46</v>
      </c>
      <c r="G30" s="18"/>
      <c r="H30" s="17">
        <f>E30*F30</f>
        <v>138</v>
      </c>
    </row>
    <row r="31" spans="2:8" x14ac:dyDescent="0.2">
      <c r="B31" s="1"/>
      <c r="C31" s="1"/>
      <c r="D31" s="1"/>
      <c r="E31" s="1"/>
      <c r="F31" s="1" t="s">
        <v>1</v>
      </c>
    </row>
    <row r="33" spans="8:8" x14ac:dyDescent="0.2">
      <c r="H33" s="17">
        <f>SUM(H29:H32)</f>
        <v>337</v>
      </c>
    </row>
  </sheetData>
  <hyperlinks>
    <hyperlink ref="F17" r:id="rId1" display="mailto:invoice.preno@prevas.no" xr:uid="{21751AA3-3E7A-4D29-88BB-F59CAA5E38FC}"/>
  </hyperlinks>
  <pageMargins left="0.70866141732283472" right="0.70866141732283472" top="0.74803149606299213" bottom="0.74803149606299213" header="0.31496062992125984" footer="0.31496062992125984"/>
  <pageSetup paperSize="9" scale="97" orientation="portrait"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E7C8-2912-4736-99B1-6DF0CCB7E532}">
  <dimension ref="B2:N125"/>
  <sheetViews>
    <sheetView workbookViewId="0">
      <selection activeCell="S40" sqref="S40"/>
    </sheetView>
  </sheetViews>
  <sheetFormatPr baseColWidth="10" defaultRowHeight="12.75" x14ac:dyDescent="0.2"/>
  <cols>
    <col min="3" max="3" width="34" customWidth="1"/>
    <col min="5" max="5" width="4.28515625" customWidth="1"/>
    <col min="10" max="10" width="3.5703125" customWidth="1"/>
  </cols>
  <sheetData>
    <row r="2" spans="2:14" ht="20.25" x14ac:dyDescent="0.3">
      <c r="B2" s="10" t="s">
        <v>22</v>
      </c>
    </row>
    <row r="4" spans="2:14" x14ac:dyDescent="0.2">
      <c r="B4" s="1" t="s">
        <v>0</v>
      </c>
      <c r="C4" s="53" t="s">
        <v>546</v>
      </c>
      <c r="F4" s="1" t="s">
        <v>19</v>
      </c>
      <c r="G4" s="12" t="s">
        <v>1</v>
      </c>
      <c r="H4" s="13"/>
    </row>
    <row r="5" spans="2:14" x14ac:dyDescent="0.2">
      <c r="B5" s="1"/>
      <c r="C5" s="4" t="s">
        <v>1</v>
      </c>
      <c r="F5" s="1"/>
      <c r="G5" s="12"/>
      <c r="H5" s="13"/>
    </row>
    <row r="6" spans="2:14" x14ac:dyDescent="0.2">
      <c r="B6" s="1"/>
      <c r="C6" s="4" t="s">
        <v>1</v>
      </c>
      <c r="F6" s="1"/>
      <c r="G6" s="12"/>
      <c r="H6" s="13"/>
    </row>
    <row r="7" spans="2:14" x14ac:dyDescent="0.2">
      <c r="B7" s="1"/>
      <c r="C7" s="4"/>
      <c r="F7" s="1"/>
      <c r="G7" s="12"/>
      <c r="H7" s="13"/>
    </row>
    <row r="8" spans="2:14" x14ac:dyDescent="0.2">
      <c r="B8" s="1"/>
      <c r="C8" s="4"/>
      <c r="F8" s="1"/>
      <c r="G8" s="12"/>
      <c r="H8" s="13"/>
    </row>
    <row r="9" spans="2:14" x14ac:dyDescent="0.2">
      <c r="B9" s="1" t="s">
        <v>18</v>
      </c>
      <c r="C9" s="40" t="s">
        <v>1</v>
      </c>
      <c r="F9" s="1"/>
      <c r="G9" s="1"/>
      <c r="H9" s="13"/>
    </row>
    <row r="10" spans="2:14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14" x14ac:dyDescent="0.2">
      <c r="B11" s="1"/>
    </row>
    <row r="12" spans="2:14" x14ac:dyDescent="0.2">
      <c r="B12" s="8" t="s">
        <v>7</v>
      </c>
      <c r="F12" s="49" t="s">
        <v>91</v>
      </c>
      <c r="G12" s="61">
        <v>45717</v>
      </c>
    </row>
    <row r="13" spans="2:14" x14ac:dyDescent="0.2">
      <c r="B13" s="1" t="s">
        <v>8</v>
      </c>
      <c r="C13" s="4" t="s">
        <v>544</v>
      </c>
      <c r="F13" t="s">
        <v>1</v>
      </c>
      <c r="K13" t="s">
        <v>822</v>
      </c>
    </row>
    <row r="14" spans="2:14" x14ac:dyDescent="0.2">
      <c r="B14" s="1" t="s">
        <v>9</v>
      </c>
      <c r="C14" s="11">
        <v>1353109</v>
      </c>
      <c r="F14" t="s">
        <v>1</v>
      </c>
      <c r="K14" t="s">
        <v>823</v>
      </c>
    </row>
    <row r="15" spans="2:14" x14ac:dyDescent="0.2">
      <c r="B15" s="1"/>
      <c r="F15" s="20" t="s">
        <v>187</v>
      </c>
      <c r="K15" s="199"/>
      <c r="L15" s="158"/>
      <c r="M15" s="158"/>
      <c r="N15" s="201" t="s">
        <v>825</v>
      </c>
    </row>
    <row r="16" spans="2:14" x14ac:dyDescent="0.2">
      <c r="B16" s="1" t="s">
        <v>16</v>
      </c>
      <c r="C16" s="11" t="s">
        <v>29</v>
      </c>
      <c r="F16" s="69" t="s">
        <v>542</v>
      </c>
      <c r="K16" s="199" t="s">
        <v>824</v>
      </c>
      <c r="L16" s="200"/>
      <c r="M16" s="158"/>
      <c r="N16" s="199">
        <v>2580</v>
      </c>
    </row>
    <row r="17" spans="2:14" x14ac:dyDescent="0.2">
      <c r="B17" s="1"/>
      <c r="K17" s="199" t="s">
        <v>318</v>
      </c>
      <c r="L17" s="200"/>
      <c r="M17" s="158"/>
      <c r="N17" s="199">
        <v>3090</v>
      </c>
    </row>
    <row r="18" spans="2:14" x14ac:dyDescent="0.2">
      <c r="B18" s="1"/>
      <c r="C18" s="13"/>
      <c r="F18" s="4" t="s">
        <v>543</v>
      </c>
      <c r="K18" s="199" t="s">
        <v>51</v>
      </c>
      <c r="L18" s="200"/>
      <c r="M18" s="158"/>
      <c r="N18" s="199">
        <v>3610</v>
      </c>
    </row>
    <row r="19" spans="2:14" x14ac:dyDescent="0.2">
      <c r="B19" s="1" t="s">
        <v>11</v>
      </c>
      <c r="C19" s="13" t="s">
        <v>39</v>
      </c>
      <c r="F19" s="49" t="s">
        <v>195</v>
      </c>
      <c r="K19" s="199" t="s">
        <v>52</v>
      </c>
      <c r="L19" s="200"/>
      <c r="M19" s="158"/>
      <c r="N19" s="199">
        <v>4130</v>
      </c>
    </row>
    <row r="20" spans="2:14" x14ac:dyDescent="0.2">
      <c r="B20" s="1" t="s">
        <v>20</v>
      </c>
      <c r="C20" s="13" t="s">
        <v>1</v>
      </c>
      <c r="K20" s="199" t="s">
        <v>53</v>
      </c>
      <c r="L20" s="200"/>
      <c r="M20" s="158"/>
      <c r="N20" s="199">
        <v>4640</v>
      </c>
    </row>
    <row r="21" spans="2:14" x14ac:dyDescent="0.2">
      <c r="B21" s="1"/>
      <c r="C21" s="13"/>
      <c r="F21" s="4"/>
      <c r="K21" s="199"/>
      <c r="L21" s="158"/>
      <c r="M21" s="158"/>
      <c r="N21" s="199"/>
    </row>
    <row r="22" spans="2:14" x14ac:dyDescent="0.2">
      <c r="B22" s="1"/>
      <c r="C22" s="13"/>
      <c r="K22" s="207" t="s">
        <v>876</v>
      </c>
      <c r="L22" s="199"/>
      <c r="M22" s="199"/>
      <c r="N22" s="199"/>
    </row>
    <row r="23" spans="2:14" x14ac:dyDescent="0.2">
      <c r="B23" s="1"/>
      <c r="C23" s="13"/>
    </row>
    <row r="24" spans="2:14" x14ac:dyDescent="0.2">
      <c r="B24" s="1"/>
      <c r="C24" s="13"/>
    </row>
    <row r="25" spans="2:14" x14ac:dyDescent="0.2">
      <c r="B25" s="1"/>
      <c r="C25" s="13"/>
    </row>
    <row r="26" spans="2:14" x14ac:dyDescent="0.2">
      <c r="B26" s="1"/>
    </row>
    <row r="27" spans="2:14" x14ac:dyDescent="0.2">
      <c r="B27" s="8" t="s">
        <v>15</v>
      </c>
      <c r="C27" s="2"/>
      <c r="E27" s="21" t="s">
        <v>12</v>
      </c>
      <c r="F27" s="21" t="s">
        <v>13</v>
      </c>
      <c r="G27" s="8"/>
      <c r="H27" s="16" t="s">
        <v>14</v>
      </c>
    </row>
    <row r="28" spans="2:14" x14ac:dyDescent="0.2">
      <c r="H28" s="17"/>
    </row>
    <row r="29" spans="2:14" x14ac:dyDescent="0.2">
      <c r="B29" s="49" t="s">
        <v>168</v>
      </c>
      <c r="E29">
        <v>1</v>
      </c>
      <c r="F29" s="17">
        <v>4640</v>
      </c>
      <c r="G29" s="18"/>
      <c r="H29" s="17">
        <f>F29*E29</f>
        <v>4640</v>
      </c>
    </row>
    <row r="30" spans="2:14" x14ac:dyDescent="0.2">
      <c r="B30" s="150" t="s">
        <v>849</v>
      </c>
      <c r="C30" s="108"/>
      <c r="D30" s="108"/>
      <c r="E30" s="108">
        <v>56</v>
      </c>
      <c r="F30" s="197">
        <v>42</v>
      </c>
      <c r="G30" s="198"/>
      <c r="H30" s="197">
        <f>SUM(E30*F30)</f>
        <v>2352</v>
      </c>
    </row>
    <row r="31" spans="2:14" x14ac:dyDescent="0.2">
      <c r="B31" s="108" t="s">
        <v>867</v>
      </c>
      <c r="C31" s="108"/>
      <c r="D31" s="108"/>
      <c r="E31" s="108"/>
      <c r="F31" s="108"/>
      <c r="G31" s="108"/>
      <c r="H31" s="155"/>
    </row>
    <row r="32" spans="2:14" x14ac:dyDescent="0.2">
      <c r="H32" s="79">
        <f>SUM(H29:H31)</f>
        <v>6992</v>
      </c>
    </row>
    <row r="33" spans="3:14" x14ac:dyDescent="0.2">
      <c r="H33" s="17"/>
    </row>
    <row r="35" spans="3:14" x14ac:dyDescent="0.2">
      <c r="C35" s="108" t="s">
        <v>851</v>
      </c>
    </row>
    <row r="36" spans="3:14" x14ac:dyDescent="0.2">
      <c r="C36" t="s">
        <v>851</v>
      </c>
    </row>
    <row r="37" spans="3:14" x14ac:dyDescent="0.2">
      <c r="C37">
        <v>0</v>
      </c>
    </row>
    <row r="38" spans="3:14" x14ac:dyDescent="0.2">
      <c r="C38">
        <v>24848</v>
      </c>
      <c r="N38">
        <v>1495</v>
      </c>
    </row>
    <row r="39" spans="3:14" x14ac:dyDescent="0.2">
      <c r="C39" t="s">
        <v>852</v>
      </c>
    </row>
    <row r="40" spans="3:14" x14ac:dyDescent="0.2">
      <c r="C40">
        <v>-33172</v>
      </c>
    </row>
    <row r="41" spans="3:14" x14ac:dyDescent="0.2">
      <c r="C41">
        <v>1353109</v>
      </c>
    </row>
    <row r="42" spans="3:14" x14ac:dyDescent="0.2">
      <c r="C42" t="s">
        <v>853</v>
      </c>
    </row>
    <row r="43" spans="3:14" x14ac:dyDescent="0.2">
      <c r="C43" s="41">
        <v>45777</v>
      </c>
    </row>
    <row r="44" spans="3:14" x14ac:dyDescent="0.2">
      <c r="C44" t="s">
        <v>854</v>
      </c>
    </row>
    <row r="45" spans="3:14" x14ac:dyDescent="0.2">
      <c r="C45" t="s">
        <v>854</v>
      </c>
    </row>
    <row r="46" spans="3:14" x14ac:dyDescent="0.2">
      <c r="C46">
        <v>0</v>
      </c>
    </row>
    <row r="47" spans="3:14" x14ac:dyDescent="0.2">
      <c r="C47">
        <v>24984</v>
      </c>
    </row>
    <row r="48" spans="3:14" x14ac:dyDescent="0.2">
      <c r="C48" t="s">
        <v>852</v>
      </c>
    </row>
    <row r="49" spans="3:3" x14ac:dyDescent="0.2">
      <c r="C49">
        <v>-33172</v>
      </c>
    </row>
    <row r="50" spans="3:3" x14ac:dyDescent="0.2">
      <c r="C50">
        <v>1353109</v>
      </c>
    </row>
    <row r="51" spans="3:3" x14ac:dyDescent="0.2">
      <c r="C51" t="s">
        <v>853</v>
      </c>
    </row>
    <row r="52" spans="3:3" x14ac:dyDescent="0.2">
      <c r="C52" s="41">
        <v>45808</v>
      </c>
    </row>
    <row r="53" spans="3:3" x14ac:dyDescent="0.2">
      <c r="C53" t="s">
        <v>854</v>
      </c>
    </row>
    <row r="54" spans="3:3" x14ac:dyDescent="0.2">
      <c r="C54" t="s">
        <v>854</v>
      </c>
    </row>
    <row r="55" spans="3:3" x14ac:dyDescent="0.2">
      <c r="C55">
        <v>0</v>
      </c>
    </row>
    <row r="56" spans="3:3" x14ac:dyDescent="0.2">
      <c r="C56">
        <v>25105</v>
      </c>
    </row>
    <row r="57" spans="3:3" x14ac:dyDescent="0.2">
      <c r="C57" t="s">
        <v>852</v>
      </c>
    </row>
    <row r="58" spans="3:3" x14ac:dyDescent="0.2">
      <c r="C58">
        <v>-33172</v>
      </c>
    </row>
    <row r="59" spans="3:3" x14ac:dyDescent="0.2">
      <c r="C59">
        <v>1353109</v>
      </c>
    </row>
    <row r="60" spans="3:3" x14ac:dyDescent="0.2">
      <c r="C60" t="s">
        <v>853</v>
      </c>
    </row>
    <row r="61" spans="3:3" x14ac:dyDescent="0.2">
      <c r="C61" s="41">
        <v>45838</v>
      </c>
    </row>
    <row r="62" spans="3:3" x14ac:dyDescent="0.2">
      <c r="C62" t="s">
        <v>854</v>
      </c>
    </row>
    <row r="63" spans="3:3" x14ac:dyDescent="0.2">
      <c r="C63" t="s">
        <v>854</v>
      </c>
    </row>
    <row r="64" spans="3:3" x14ac:dyDescent="0.2">
      <c r="C64">
        <v>0</v>
      </c>
    </row>
    <row r="65" spans="3:3" x14ac:dyDescent="0.2">
      <c r="C65">
        <v>25249</v>
      </c>
    </row>
    <row r="66" spans="3:3" x14ac:dyDescent="0.2">
      <c r="C66" t="s">
        <v>852</v>
      </c>
    </row>
    <row r="67" spans="3:3" x14ac:dyDescent="0.2">
      <c r="C67">
        <v>-33172</v>
      </c>
    </row>
    <row r="68" spans="3:3" x14ac:dyDescent="0.2">
      <c r="C68">
        <v>1353109</v>
      </c>
    </row>
    <row r="69" spans="3:3" x14ac:dyDescent="0.2">
      <c r="C69" t="s">
        <v>853</v>
      </c>
    </row>
    <row r="70" spans="3:3" x14ac:dyDescent="0.2">
      <c r="C70" s="41">
        <v>45869</v>
      </c>
    </row>
    <row r="71" spans="3:3" x14ac:dyDescent="0.2">
      <c r="C71" t="s">
        <v>855</v>
      </c>
    </row>
    <row r="72" spans="3:3" x14ac:dyDescent="0.2">
      <c r="C72" t="s">
        <v>855</v>
      </c>
    </row>
    <row r="73" spans="3:3" x14ac:dyDescent="0.2">
      <c r="C73">
        <v>0</v>
      </c>
    </row>
    <row r="74" spans="3:3" x14ac:dyDescent="0.2">
      <c r="C74">
        <v>25376</v>
      </c>
    </row>
    <row r="75" spans="3:3" x14ac:dyDescent="0.2">
      <c r="C75" t="s">
        <v>852</v>
      </c>
    </row>
    <row r="76" spans="3:3" x14ac:dyDescent="0.2">
      <c r="C76">
        <v>-33172</v>
      </c>
    </row>
    <row r="77" spans="3:3" x14ac:dyDescent="0.2">
      <c r="C77">
        <v>1353109</v>
      </c>
    </row>
    <row r="78" spans="3:3" x14ac:dyDescent="0.2">
      <c r="C78" t="s">
        <v>853</v>
      </c>
    </row>
    <row r="79" spans="3:3" x14ac:dyDescent="0.2">
      <c r="C79" s="41">
        <v>45900</v>
      </c>
    </row>
    <row r="80" spans="3:3" x14ac:dyDescent="0.2">
      <c r="C80" t="s">
        <v>855</v>
      </c>
    </row>
    <row r="81" spans="3:3" x14ac:dyDescent="0.2">
      <c r="C81" t="s">
        <v>855</v>
      </c>
    </row>
    <row r="82" spans="3:3" x14ac:dyDescent="0.2">
      <c r="C82">
        <v>0</v>
      </c>
    </row>
    <row r="83" spans="3:3" x14ac:dyDescent="0.2">
      <c r="C83">
        <v>25503</v>
      </c>
    </row>
    <row r="84" spans="3:3" x14ac:dyDescent="0.2">
      <c r="C84" t="s">
        <v>852</v>
      </c>
    </row>
    <row r="85" spans="3:3" x14ac:dyDescent="0.2">
      <c r="C85">
        <v>-33172</v>
      </c>
    </row>
    <row r="86" spans="3:3" x14ac:dyDescent="0.2">
      <c r="C86">
        <v>1353109</v>
      </c>
    </row>
    <row r="87" spans="3:3" x14ac:dyDescent="0.2">
      <c r="C87" t="s">
        <v>853</v>
      </c>
    </row>
    <row r="88" spans="3:3" x14ac:dyDescent="0.2">
      <c r="C88" s="41">
        <v>45930</v>
      </c>
    </row>
    <row r="89" spans="3:3" x14ac:dyDescent="0.2">
      <c r="C89" t="s">
        <v>856</v>
      </c>
    </row>
    <row r="90" spans="3:3" x14ac:dyDescent="0.2">
      <c r="C90" t="s">
        <v>856</v>
      </c>
    </row>
    <row r="91" spans="3:3" x14ac:dyDescent="0.2">
      <c r="C91">
        <v>0</v>
      </c>
    </row>
    <row r="92" spans="3:3" x14ac:dyDescent="0.2">
      <c r="C92">
        <v>25663</v>
      </c>
    </row>
    <row r="93" spans="3:3" x14ac:dyDescent="0.2">
      <c r="C93" t="s">
        <v>852</v>
      </c>
    </row>
    <row r="94" spans="3:3" x14ac:dyDescent="0.2">
      <c r="C94">
        <v>-33172</v>
      </c>
    </row>
    <row r="95" spans="3:3" x14ac:dyDescent="0.2">
      <c r="C95">
        <v>1353109</v>
      </c>
    </row>
    <row r="96" spans="3:3" x14ac:dyDescent="0.2">
      <c r="C96" t="s">
        <v>853</v>
      </c>
    </row>
    <row r="97" spans="3:3" x14ac:dyDescent="0.2">
      <c r="C97" s="41">
        <v>45961</v>
      </c>
    </row>
    <row r="98" spans="3:3" x14ac:dyDescent="0.2">
      <c r="C98" t="s">
        <v>857</v>
      </c>
    </row>
    <row r="99" spans="3:3" x14ac:dyDescent="0.2">
      <c r="C99" t="s">
        <v>857</v>
      </c>
    </row>
    <row r="100" spans="3:3" x14ac:dyDescent="0.2">
      <c r="C100">
        <v>0</v>
      </c>
    </row>
    <row r="101" spans="3:3" x14ac:dyDescent="0.2">
      <c r="C101">
        <v>25802</v>
      </c>
    </row>
    <row r="102" spans="3:3" x14ac:dyDescent="0.2">
      <c r="C102" t="s">
        <v>852</v>
      </c>
    </row>
    <row r="103" spans="3:3" x14ac:dyDescent="0.2">
      <c r="C103">
        <v>-33172</v>
      </c>
    </row>
    <row r="104" spans="3:3" x14ac:dyDescent="0.2">
      <c r="C104">
        <v>1353109</v>
      </c>
    </row>
    <row r="105" spans="3:3" x14ac:dyDescent="0.2">
      <c r="C105" t="s">
        <v>853</v>
      </c>
    </row>
    <row r="106" spans="3:3" x14ac:dyDescent="0.2">
      <c r="C106" s="41">
        <v>45991</v>
      </c>
    </row>
    <row r="107" spans="3:3" x14ac:dyDescent="0.2">
      <c r="C107" t="s">
        <v>854</v>
      </c>
    </row>
    <row r="108" spans="3:3" x14ac:dyDescent="0.2">
      <c r="C108" t="s">
        <v>854</v>
      </c>
    </row>
    <row r="109" spans="3:3" x14ac:dyDescent="0.2">
      <c r="C109">
        <v>0</v>
      </c>
    </row>
    <row r="110" spans="3:3" x14ac:dyDescent="0.2">
      <c r="C110">
        <v>25937</v>
      </c>
    </row>
    <row r="111" spans="3:3" x14ac:dyDescent="0.2">
      <c r="C111" t="s">
        <v>852</v>
      </c>
    </row>
    <row r="112" spans="3:3" x14ac:dyDescent="0.2">
      <c r="C112">
        <v>-33172</v>
      </c>
    </row>
    <row r="113" spans="3:3" x14ac:dyDescent="0.2">
      <c r="C113">
        <v>1353109</v>
      </c>
    </row>
    <row r="114" spans="3:3" x14ac:dyDescent="0.2">
      <c r="C114" t="s">
        <v>853</v>
      </c>
    </row>
    <row r="115" spans="3:3" x14ac:dyDescent="0.2">
      <c r="C115" s="41">
        <v>46022</v>
      </c>
    </row>
    <row r="116" spans="3:3" x14ac:dyDescent="0.2">
      <c r="C116" t="s">
        <v>855</v>
      </c>
    </row>
    <row r="117" spans="3:3" x14ac:dyDescent="0.2">
      <c r="C117" t="s">
        <v>855</v>
      </c>
    </row>
    <row r="118" spans="3:3" x14ac:dyDescent="0.2">
      <c r="C118">
        <v>0</v>
      </c>
    </row>
    <row r="119" spans="3:3" x14ac:dyDescent="0.2">
      <c r="C119">
        <v>26102</v>
      </c>
    </row>
    <row r="120" spans="3:3" x14ac:dyDescent="0.2">
      <c r="C120" t="s">
        <v>852</v>
      </c>
    </row>
    <row r="121" spans="3:3" x14ac:dyDescent="0.2">
      <c r="C121">
        <v>-33172</v>
      </c>
    </row>
    <row r="122" spans="3:3" x14ac:dyDescent="0.2">
      <c r="C122">
        <v>1353109</v>
      </c>
    </row>
    <row r="123" spans="3:3" x14ac:dyDescent="0.2">
      <c r="C123" t="s">
        <v>853</v>
      </c>
    </row>
    <row r="124" spans="3:3" x14ac:dyDescent="0.2">
      <c r="C124" s="41">
        <v>46053</v>
      </c>
    </row>
    <row r="125" spans="3:3" x14ac:dyDescent="0.2">
      <c r="C125" t="s">
        <v>858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B413-8672-478C-BF06-7C335DE07FDA}">
  <sheetPr codeName="Ark55">
    <pageSetUpPr fitToPage="1"/>
  </sheetPr>
  <dimension ref="B2:H35"/>
  <sheetViews>
    <sheetView workbookViewId="0">
      <selection activeCell="L34" sqref="L34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4" t="s">
        <v>288</v>
      </c>
      <c r="F4" s="1" t="s">
        <v>19</v>
      </c>
      <c r="G4" s="12" t="s">
        <v>1</v>
      </c>
      <c r="H4" s="13"/>
    </row>
    <row r="5" spans="2:8" x14ac:dyDescent="0.2">
      <c r="B5" s="1" t="s">
        <v>18</v>
      </c>
      <c r="C5" s="4" t="s">
        <v>1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4" t="s">
        <v>285</v>
      </c>
    </row>
    <row r="10" spans="2:8" x14ac:dyDescent="0.2">
      <c r="B10" s="1" t="s">
        <v>9</v>
      </c>
      <c r="C10" s="42" t="s">
        <v>1</v>
      </c>
      <c r="F10" s="74" t="s">
        <v>286</v>
      </c>
    </row>
    <row r="11" spans="2:8" x14ac:dyDescent="0.2">
      <c r="B11" s="1"/>
      <c r="F11" s="49" t="s">
        <v>1</v>
      </c>
    </row>
    <row r="12" spans="2:8" x14ac:dyDescent="0.2">
      <c r="B12" s="1" t="s">
        <v>16</v>
      </c>
      <c r="C12" s="11" t="s">
        <v>29</v>
      </c>
      <c r="F12" s="53" t="s">
        <v>1</v>
      </c>
    </row>
    <row r="13" spans="2:8" x14ac:dyDescent="0.2">
      <c r="B13" s="1"/>
      <c r="F13" t="s">
        <v>287</v>
      </c>
    </row>
    <row r="14" spans="2:8" x14ac:dyDescent="0.2">
      <c r="B14" s="1"/>
      <c r="C14" s="13"/>
      <c r="F14" s="108" t="s">
        <v>826</v>
      </c>
    </row>
    <row r="15" spans="2:8" x14ac:dyDescent="0.2">
      <c r="B15" s="1" t="s">
        <v>11</v>
      </c>
      <c r="C15" s="13" t="s">
        <v>39</v>
      </c>
      <c r="F15" t="s">
        <v>1</v>
      </c>
    </row>
    <row r="16" spans="2:8" x14ac:dyDescent="0.2">
      <c r="B16" s="1" t="s">
        <v>20</v>
      </c>
      <c r="C16" s="13" t="s">
        <v>1</v>
      </c>
    </row>
    <row r="17" spans="2:8" x14ac:dyDescent="0.2">
      <c r="B17" s="1"/>
      <c r="C17" s="13"/>
    </row>
    <row r="18" spans="2:8" x14ac:dyDescent="0.2">
      <c r="B18" s="1"/>
      <c r="C18" s="13"/>
    </row>
    <row r="19" spans="2:8" x14ac:dyDescent="0.2">
      <c r="B19" s="1"/>
    </row>
    <row r="20" spans="2:8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</row>
    <row r="21" spans="2:8" x14ac:dyDescent="0.2">
      <c r="H21" s="17"/>
    </row>
    <row r="22" spans="2:8" x14ac:dyDescent="0.2">
      <c r="B22" s="49" t="s">
        <v>96</v>
      </c>
      <c r="E22">
        <v>1</v>
      </c>
      <c r="F22" s="51">
        <v>199</v>
      </c>
      <c r="G22" s="18"/>
      <c r="H22" s="17">
        <f>E22*F22</f>
        <v>199</v>
      </c>
    </row>
    <row r="23" spans="2:8" x14ac:dyDescent="0.2">
      <c r="B23" s="49" t="s">
        <v>283</v>
      </c>
      <c r="D23" t="str">
        <f>Felles!C4</f>
        <v>August</v>
      </c>
      <c r="E23">
        <v>2</v>
      </c>
      <c r="F23" s="51">
        <v>46</v>
      </c>
      <c r="G23" s="18"/>
      <c r="H23" s="17">
        <f>E23*F23</f>
        <v>92</v>
      </c>
    </row>
    <row r="24" spans="2:8" x14ac:dyDescent="0.2">
      <c r="B24" s="4"/>
      <c r="F24" s="17"/>
      <c r="G24" s="18"/>
      <c r="H24" s="17"/>
    </row>
    <row r="25" spans="2:8" x14ac:dyDescent="0.2">
      <c r="B25" s="4"/>
      <c r="F25" s="17"/>
      <c r="G25" s="18"/>
      <c r="H25" s="17"/>
    </row>
    <row r="26" spans="2:8" x14ac:dyDescent="0.2">
      <c r="F26" s="17"/>
      <c r="G26" s="18"/>
      <c r="H26" s="17"/>
    </row>
    <row r="27" spans="2:8" x14ac:dyDescent="0.2">
      <c r="B27" t="s">
        <v>1</v>
      </c>
      <c r="F27" s="17"/>
      <c r="G27" s="18"/>
      <c r="H27" s="17"/>
    </row>
    <row r="28" spans="2:8" x14ac:dyDescent="0.2">
      <c r="B28" s="8" t="s">
        <v>21</v>
      </c>
      <c r="C28" t="s">
        <v>1</v>
      </c>
      <c r="F28" s="17"/>
      <c r="G28" s="18"/>
      <c r="H28" s="17"/>
    </row>
    <row r="29" spans="2:8" x14ac:dyDescent="0.2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</row>
    <row r="30" spans="2:8" x14ac:dyDescent="0.2">
      <c r="B30" s="11"/>
      <c r="C30" s="11"/>
      <c r="D30" s="11"/>
      <c r="E30" s="11"/>
      <c r="F30" s="22"/>
      <c r="G30" s="22"/>
      <c r="H30" s="17"/>
    </row>
    <row r="31" spans="2:8" x14ac:dyDescent="0.2">
      <c r="B31" s="11"/>
      <c r="C31" s="11"/>
      <c r="D31" s="11"/>
      <c r="E31" s="11"/>
      <c r="F31" s="22"/>
      <c r="G31" s="22"/>
      <c r="H31" s="17"/>
    </row>
    <row r="32" spans="2:8" x14ac:dyDescent="0.2">
      <c r="F32" s="17"/>
      <c r="G32" s="17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291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A1FF-5C51-4C30-9596-5AA8C5080782}">
  <sheetPr codeName="Ark56">
    <pageSetUpPr fitToPage="1"/>
  </sheetPr>
  <dimension ref="A2:O101"/>
  <sheetViews>
    <sheetView topLeftCell="A18" workbookViewId="0">
      <selection activeCell="N45" sqref="N45"/>
    </sheetView>
  </sheetViews>
  <sheetFormatPr baseColWidth="10" defaultRowHeight="12.75" x14ac:dyDescent="0.2"/>
  <sheetData>
    <row r="2" spans="2:15" ht="20.25" x14ac:dyDescent="0.3">
      <c r="B2" s="10" t="s">
        <v>22</v>
      </c>
    </row>
    <row r="4" spans="2:15" x14ac:dyDescent="0.2">
      <c r="B4" s="1" t="s">
        <v>0</v>
      </c>
      <c r="C4" s="4" t="s">
        <v>276</v>
      </c>
      <c r="F4" s="1" t="s">
        <v>19</v>
      </c>
      <c r="G4" s="12" t="s">
        <v>1</v>
      </c>
      <c r="H4" s="13"/>
    </row>
    <row r="5" spans="2:15" x14ac:dyDescent="0.2">
      <c r="B5" s="1" t="s">
        <v>18</v>
      </c>
      <c r="C5" s="4">
        <v>32706</v>
      </c>
      <c r="F5" s="1"/>
      <c r="G5" s="1"/>
      <c r="H5" s="13"/>
    </row>
    <row r="6" spans="2:15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15" x14ac:dyDescent="0.2">
      <c r="B7" s="1"/>
    </row>
    <row r="8" spans="2:15" x14ac:dyDescent="0.2">
      <c r="B8" s="8" t="s">
        <v>7</v>
      </c>
    </row>
    <row r="9" spans="2:15" x14ac:dyDescent="0.2">
      <c r="B9" s="1" t="s">
        <v>8</v>
      </c>
      <c r="C9" s="4" t="s">
        <v>277</v>
      </c>
    </row>
    <row r="10" spans="2:15" x14ac:dyDescent="0.2">
      <c r="B10" s="1" t="s">
        <v>9</v>
      </c>
      <c r="C10" s="42" t="s">
        <v>1</v>
      </c>
      <c r="F10" s="74" t="s">
        <v>273</v>
      </c>
      <c r="I10" s="115" t="s">
        <v>595</v>
      </c>
      <c r="J10" s="115"/>
      <c r="K10" s="115"/>
      <c r="L10" s="115"/>
      <c r="M10" s="115"/>
      <c r="N10" s="115"/>
      <c r="O10" s="115"/>
    </row>
    <row r="11" spans="2:15" x14ac:dyDescent="0.2">
      <c r="B11" s="1"/>
      <c r="F11" s="49" t="s">
        <v>175</v>
      </c>
      <c r="I11" s="115" t="s">
        <v>596</v>
      </c>
      <c r="J11" s="115"/>
      <c r="K11" s="115"/>
      <c r="L11" s="115"/>
      <c r="M11" s="115"/>
      <c r="N11" s="115"/>
      <c r="O11" s="115"/>
    </row>
    <row r="12" spans="2:15" x14ac:dyDescent="0.2">
      <c r="B12" s="1" t="s">
        <v>16</v>
      </c>
      <c r="C12" s="11" t="s">
        <v>29</v>
      </c>
      <c r="F12" s="53" t="s">
        <v>1</v>
      </c>
      <c r="I12" s="115" t="s">
        <v>597</v>
      </c>
      <c r="J12" s="115"/>
      <c r="K12" s="115"/>
      <c r="L12" s="115"/>
      <c r="M12" s="115"/>
      <c r="N12" s="115"/>
      <c r="O12" s="115"/>
    </row>
    <row r="13" spans="2:15" x14ac:dyDescent="0.2">
      <c r="B13" s="1"/>
      <c r="F13" t="s">
        <v>324</v>
      </c>
    </row>
    <row r="14" spans="2:15" x14ac:dyDescent="0.2">
      <c r="B14" s="1"/>
      <c r="C14" s="13"/>
      <c r="F14" t="s">
        <v>325</v>
      </c>
      <c r="G14" s="32" t="s">
        <v>326</v>
      </c>
    </row>
    <row r="15" spans="2:15" x14ac:dyDescent="0.2">
      <c r="B15" s="1" t="s">
        <v>11</v>
      </c>
      <c r="C15" s="13" t="s">
        <v>39</v>
      </c>
      <c r="F15" t="s">
        <v>278</v>
      </c>
    </row>
    <row r="16" spans="2:15" x14ac:dyDescent="0.2">
      <c r="B16" s="1" t="s">
        <v>20</v>
      </c>
      <c r="C16" s="13" t="s">
        <v>1</v>
      </c>
      <c r="J16" s="108" t="s">
        <v>827</v>
      </c>
    </row>
    <row r="17" spans="2:11" x14ac:dyDescent="0.2">
      <c r="B17" s="1"/>
      <c r="C17" s="13"/>
    </row>
    <row r="18" spans="2:11" x14ac:dyDescent="0.2">
      <c r="B18" s="1"/>
      <c r="C18" s="13"/>
    </row>
    <row r="19" spans="2:11" x14ac:dyDescent="0.2">
      <c r="B19" s="1"/>
    </row>
    <row r="20" spans="2:11" x14ac:dyDescent="0.2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</row>
    <row r="21" spans="2:11" x14ac:dyDescent="0.2">
      <c r="H21" s="17"/>
      <c r="K21" t="s">
        <v>1</v>
      </c>
    </row>
    <row r="22" spans="2:11" x14ac:dyDescent="0.2">
      <c r="B22" s="49" t="s">
        <v>279</v>
      </c>
      <c r="E22">
        <v>0</v>
      </c>
      <c r="F22" s="51">
        <v>199</v>
      </c>
      <c r="G22" s="18"/>
      <c r="H22" s="17">
        <f>E22*F22</f>
        <v>0</v>
      </c>
    </row>
    <row r="23" spans="2:11" x14ac:dyDescent="0.2">
      <c r="B23" s="49" t="s">
        <v>163</v>
      </c>
      <c r="D23" t="str">
        <f>Felles!C4</f>
        <v>August</v>
      </c>
      <c r="E23">
        <v>1</v>
      </c>
      <c r="F23" s="51">
        <v>1125</v>
      </c>
      <c r="G23" s="18"/>
      <c r="H23" s="17">
        <f>E23*F23</f>
        <v>1125</v>
      </c>
    </row>
    <row r="24" spans="2:11" x14ac:dyDescent="0.2">
      <c r="B24" s="4"/>
      <c r="F24" s="17"/>
      <c r="G24" s="18"/>
      <c r="H24" s="17"/>
    </row>
    <row r="25" spans="2:11" x14ac:dyDescent="0.2">
      <c r="B25" s="4"/>
      <c r="F25" s="17"/>
      <c r="G25" s="18"/>
      <c r="H25" s="17"/>
    </row>
    <row r="26" spans="2:11" x14ac:dyDescent="0.2">
      <c r="F26" s="17"/>
      <c r="G26" s="18"/>
      <c r="H26" s="17"/>
    </row>
    <row r="27" spans="2:11" x14ac:dyDescent="0.2">
      <c r="B27" t="s">
        <v>1</v>
      </c>
      <c r="F27" s="17"/>
      <c r="G27" s="18"/>
      <c r="H27" s="17"/>
    </row>
    <row r="28" spans="2:11" x14ac:dyDescent="0.2">
      <c r="B28" s="8" t="s">
        <v>21</v>
      </c>
      <c r="C28" t="s">
        <v>1</v>
      </c>
      <c r="F28" s="17"/>
      <c r="G28" s="18"/>
      <c r="H28" s="17"/>
    </row>
    <row r="29" spans="2:11" x14ac:dyDescent="0.2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</row>
    <row r="30" spans="2:11" x14ac:dyDescent="0.2">
      <c r="B30" s="11"/>
      <c r="C30" s="11"/>
      <c r="D30" s="11"/>
      <c r="E30" s="11"/>
      <c r="F30" s="22"/>
      <c r="G30" s="22"/>
      <c r="H30" s="17"/>
    </row>
    <row r="31" spans="2:11" x14ac:dyDescent="0.2">
      <c r="B31" s="11"/>
      <c r="C31" s="11"/>
      <c r="D31" s="11"/>
      <c r="E31" s="11"/>
      <c r="F31" s="22"/>
      <c r="G31" s="22"/>
      <c r="H31" s="17"/>
    </row>
    <row r="32" spans="2:11" x14ac:dyDescent="0.2">
      <c r="F32" s="17"/>
      <c r="G32" s="17"/>
      <c r="H32" s="17"/>
    </row>
    <row r="33" spans="2:8" x14ac:dyDescent="0.2">
      <c r="F33" s="17"/>
      <c r="G33" s="17"/>
      <c r="H33" s="17"/>
    </row>
    <row r="34" spans="2:8" x14ac:dyDescent="0.2">
      <c r="F34" s="17"/>
      <c r="G34" s="17"/>
      <c r="H34" s="17"/>
    </row>
    <row r="35" spans="2:8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1125</v>
      </c>
    </row>
    <row r="38" spans="2:8" x14ac:dyDescent="0.2">
      <c r="C38" s="4" t="s">
        <v>82</v>
      </c>
      <c r="D38" s="4" t="s">
        <v>83</v>
      </c>
      <c r="E38" t="s">
        <v>33</v>
      </c>
      <c r="F38" t="s">
        <v>70</v>
      </c>
      <c r="G38" t="s">
        <v>34</v>
      </c>
      <c r="H38" s="4" t="s">
        <v>71</v>
      </c>
    </row>
    <row r="39" spans="2:8" x14ac:dyDescent="0.2">
      <c r="B39" t="s">
        <v>276</v>
      </c>
      <c r="C39" s="4">
        <v>5</v>
      </c>
      <c r="D39" s="4">
        <v>3</v>
      </c>
      <c r="E39">
        <v>2</v>
      </c>
      <c r="F39">
        <v>4</v>
      </c>
      <c r="G39">
        <v>2</v>
      </c>
      <c r="H39">
        <v>1</v>
      </c>
    </row>
    <row r="40" spans="2:8" x14ac:dyDescent="0.2">
      <c r="B40" t="s">
        <v>302</v>
      </c>
      <c r="C40" s="4">
        <v>6</v>
      </c>
      <c r="D40" s="4">
        <v>84</v>
      </c>
      <c r="E40">
        <v>61</v>
      </c>
      <c r="F40">
        <v>39</v>
      </c>
      <c r="G40">
        <v>21</v>
      </c>
      <c r="H40">
        <v>16</v>
      </c>
    </row>
    <row r="41" spans="2:8" x14ac:dyDescent="0.2">
      <c r="C41">
        <f t="shared" ref="C41:H41" si="0">SUM(C39:C40)</f>
        <v>11</v>
      </c>
      <c r="D41">
        <f t="shared" si="0"/>
        <v>87</v>
      </c>
      <c r="E41">
        <f t="shared" si="0"/>
        <v>63</v>
      </c>
      <c r="F41">
        <f t="shared" si="0"/>
        <v>43</v>
      </c>
      <c r="G41">
        <f t="shared" si="0"/>
        <v>23</v>
      </c>
      <c r="H41">
        <f t="shared" si="0"/>
        <v>17</v>
      </c>
    </row>
    <row r="44" spans="2:8" x14ac:dyDescent="0.2">
      <c r="C44" s="4" t="s">
        <v>72</v>
      </c>
      <c r="D44" t="s">
        <v>409</v>
      </c>
      <c r="E44" s="4" t="s">
        <v>390</v>
      </c>
      <c r="F44" s="108" t="s">
        <v>314</v>
      </c>
      <c r="G44" s="108" t="s">
        <v>31</v>
      </c>
      <c r="H44" s="108" t="s">
        <v>391</v>
      </c>
    </row>
    <row r="45" spans="2:8" x14ac:dyDescent="0.2">
      <c r="B45" t="s">
        <v>276</v>
      </c>
      <c r="C45">
        <v>1</v>
      </c>
      <c r="D45">
        <v>4</v>
      </c>
      <c r="E45">
        <v>11</v>
      </c>
      <c r="F45">
        <v>0</v>
      </c>
      <c r="G45">
        <v>0</v>
      </c>
      <c r="H45">
        <v>0</v>
      </c>
    </row>
    <row r="46" spans="2:8" x14ac:dyDescent="0.2">
      <c r="B46" t="s">
        <v>302</v>
      </c>
      <c r="C46">
        <v>13</v>
      </c>
      <c r="D46">
        <v>18</v>
      </c>
      <c r="E46">
        <v>0</v>
      </c>
      <c r="F46">
        <v>17</v>
      </c>
      <c r="G46">
        <v>22</v>
      </c>
      <c r="H46">
        <v>13</v>
      </c>
    </row>
    <row r="47" spans="2:8" x14ac:dyDescent="0.2">
      <c r="C47">
        <f>SUM(C45:C46)</f>
        <v>14</v>
      </c>
      <c r="D47">
        <f>SUM(D45:D46)</f>
        <v>22</v>
      </c>
      <c r="E47">
        <f>SUM(E45:E46)</f>
        <v>11</v>
      </c>
      <c r="F47">
        <f>SUM(F45:F46)</f>
        <v>17</v>
      </c>
      <c r="G47">
        <v>22</v>
      </c>
      <c r="H47">
        <v>13</v>
      </c>
    </row>
    <row r="49" spans="1:14" x14ac:dyDescent="0.2">
      <c r="C49" t="s">
        <v>33</v>
      </c>
      <c r="D49" t="s">
        <v>327</v>
      </c>
      <c r="E49" t="s">
        <v>34</v>
      </c>
      <c r="F49" t="s">
        <v>35</v>
      </c>
      <c r="G49" t="s">
        <v>36</v>
      </c>
    </row>
    <row r="50" spans="1:14" x14ac:dyDescent="0.2">
      <c r="B50" t="s">
        <v>276</v>
      </c>
      <c r="C50">
        <v>0</v>
      </c>
      <c r="D50">
        <v>0</v>
      </c>
      <c r="E50">
        <v>0</v>
      </c>
      <c r="F50">
        <v>0</v>
      </c>
    </row>
    <row r="51" spans="1:14" x14ac:dyDescent="0.2">
      <c r="B51" t="s">
        <v>598</v>
      </c>
      <c r="C51">
        <v>19</v>
      </c>
      <c r="D51">
        <v>18</v>
      </c>
      <c r="E51">
        <v>8</v>
      </c>
      <c r="F51">
        <v>26</v>
      </c>
    </row>
    <row r="53" spans="1:14" x14ac:dyDescent="0.2">
      <c r="A53" s="1">
        <v>2026</v>
      </c>
      <c r="C53" s="108" t="s">
        <v>216</v>
      </c>
      <c r="D53" s="108" t="s">
        <v>72</v>
      </c>
      <c r="E53" s="108" t="s">
        <v>409</v>
      </c>
      <c r="F53" s="108" t="s">
        <v>521</v>
      </c>
      <c r="G53" s="108" t="s">
        <v>77</v>
      </c>
      <c r="H53" s="108" t="s">
        <v>31</v>
      </c>
      <c r="I53" s="108" t="s">
        <v>32</v>
      </c>
      <c r="J53" s="108" t="s">
        <v>33</v>
      </c>
      <c r="K53" s="108" t="s">
        <v>327</v>
      </c>
      <c r="L53" s="108" t="s">
        <v>34</v>
      </c>
      <c r="M53" s="108" t="s">
        <v>35</v>
      </c>
      <c r="N53" s="108" t="s">
        <v>36</v>
      </c>
    </row>
    <row r="54" spans="1:14" x14ac:dyDescent="0.2">
      <c r="B54" s="108" t="s">
        <v>276</v>
      </c>
      <c r="C54">
        <v>3</v>
      </c>
      <c r="D54">
        <v>7</v>
      </c>
      <c r="E54">
        <v>1</v>
      </c>
      <c r="F54">
        <v>3</v>
      </c>
      <c r="G54">
        <v>0</v>
      </c>
      <c r="H54">
        <v>1</v>
      </c>
      <c r="I54">
        <v>1</v>
      </c>
    </row>
    <row r="55" spans="1:14" ht="13.5" thickBot="1" x14ac:dyDescent="0.25">
      <c r="B55" s="108" t="s">
        <v>598</v>
      </c>
      <c r="C55">
        <v>11</v>
      </c>
      <c r="D55">
        <v>22</v>
      </c>
      <c r="E55">
        <v>7</v>
      </c>
      <c r="F55">
        <v>17</v>
      </c>
      <c r="G55">
        <v>11</v>
      </c>
      <c r="H55">
        <v>10</v>
      </c>
      <c r="I55">
        <v>5</v>
      </c>
    </row>
    <row r="56" spans="1:14" ht="13.5" thickBot="1" x14ac:dyDescent="0.25">
      <c r="C56" s="179">
        <f>SUM(C54:C55)</f>
        <v>14</v>
      </c>
      <c r="D56" s="184">
        <f>SUM(D54:D55)</f>
        <v>29</v>
      </c>
      <c r="E56" s="184">
        <v>8</v>
      </c>
      <c r="F56" s="184">
        <v>20</v>
      </c>
      <c r="G56" s="184">
        <v>11</v>
      </c>
      <c r="H56" s="184">
        <v>11</v>
      </c>
      <c r="I56" s="184">
        <f>SUM(I54:I55)</f>
        <v>6</v>
      </c>
      <c r="J56" s="184"/>
      <c r="K56" s="184"/>
      <c r="L56" s="184"/>
      <c r="M56" s="184"/>
      <c r="N56" s="180"/>
    </row>
    <row r="58" spans="1:14" x14ac:dyDescent="0.2">
      <c r="C58" s="4"/>
      <c r="D58" s="4"/>
      <c r="E58" s="4"/>
      <c r="F58" s="4"/>
      <c r="G58" s="4"/>
      <c r="H58" s="4"/>
    </row>
    <row r="63" spans="1:14" x14ac:dyDescent="0.2">
      <c r="C63" s="4"/>
      <c r="D63" s="4"/>
      <c r="E63" s="4"/>
      <c r="F63" s="4"/>
      <c r="G63" s="4"/>
      <c r="H63" s="4"/>
    </row>
    <row r="68" spans="3:8" x14ac:dyDescent="0.2">
      <c r="C68" s="4"/>
      <c r="D68" s="4"/>
      <c r="E68" s="4"/>
      <c r="F68" s="4"/>
      <c r="G68" s="4"/>
      <c r="H68" s="4"/>
    </row>
    <row r="69" spans="3:8" x14ac:dyDescent="0.2">
      <c r="C69" s="4"/>
      <c r="D69" s="4"/>
    </row>
    <row r="70" spans="3:8" x14ac:dyDescent="0.2">
      <c r="C70" s="4"/>
      <c r="D70" s="4"/>
    </row>
    <row r="73" spans="3:8" x14ac:dyDescent="0.2">
      <c r="C73" s="4"/>
      <c r="D73" s="4"/>
      <c r="E73" s="4"/>
      <c r="F73" s="4"/>
      <c r="G73" s="4"/>
      <c r="H73" s="4"/>
    </row>
    <row r="74" spans="3:8" x14ac:dyDescent="0.2">
      <c r="C74" s="4"/>
    </row>
    <row r="75" spans="3:8" x14ac:dyDescent="0.2">
      <c r="C75" s="4"/>
    </row>
    <row r="78" spans="3:8" x14ac:dyDescent="0.2">
      <c r="C78" s="4"/>
      <c r="D78" s="4"/>
      <c r="E78" s="4"/>
      <c r="F78" s="4"/>
      <c r="G78" s="4"/>
      <c r="H78" s="4"/>
    </row>
    <row r="79" spans="3:8" x14ac:dyDescent="0.2">
      <c r="C79" s="4"/>
    </row>
    <row r="80" spans="3:8" x14ac:dyDescent="0.2">
      <c r="C80" s="4"/>
    </row>
    <row r="83" spans="2:8" x14ac:dyDescent="0.2">
      <c r="C83" s="4"/>
    </row>
    <row r="84" spans="2:8" x14ac:dyDescent="0.2">
      <c r="C84" s="4"/>
    </row>
    <row r="85" spans="2:8" x14ac:dyDescent="0.2">
      <c r="C85" s="4"/>
    </row>
    <row r="88" spans="2:8" x14ac:dyDescent="0.2">
      <c r="C88" s="4" t="s">
        <v>82</v>
      </c>
      <c r="D88" s="4" t="s">
        <v>83</v>
      </c>
      <c r="E88" t="s">
        <v>33</v>
      </c>
      <c r="F88" t="s">
        <v>70</v>
      </c>
      <c r="G88" t="s">
        <v>34</v>
      </c>
      <c r="H88" s="4" t="s">
        <v>71</v>
      </c>
    </row>
    <row r="89" spans="2:8" x14ac:dyDescent="0.2">
      <c r="B89" t="s">
        <v>276</v>
      </c>
      <c r="C89" s="4">
        <v>5</v>
      </c>
      <c r="D89" s="4">
        <v>3</v>
      </c>
      <c r="E89">
        <v>2</v>
      </c>
      <c r="F89">
        <v>4</v>
      </c>
      <c r="G89">
        <v>2</v>
      </c>
      <c r="H89">
        <v>1</v>
      </c>
    </row>
    <row r="90" spans="2:8" x14ac:dyDescent="0.2">
      <c r="B90" t="s">
        <v>302</v>
      </c>
      <c r="C90" s="4">
        <v>6</v>
      </c>
      <c r="D90" s="4">
        <v>84</v>
      </c>
      <c r="E90">
        <v>61</v>
      </c>
      <c r="F90">
        <v>39</v>
      </c>
      <c r="G90">
        <v>21</v>
      </c>
      <c r="H90">
        <v>16</v>
      </c>
    </row>
    <row r="91" spans="2:8" x14ac:dyDescent="0.2">
      <c r="C91">
        <f t="shared" ref="C91:H91" si="1">SUM(C89:C90)</f>
        <v>11</v>
      </c>
      <c r="D91">
        <f t="shared" si="1"/>
        <v>87</v>
      </c>
      <c r="E91">
        <f t="shared" si="1"/>
        <v>63</v>
      </c>
      <c r="F91">
        <f t="shared" si="1"/>
        <v>43</v>
      </c>
      <c r="G91">
        <f t="shared" si="1"/>
        <v>23</v>
      </c>
      <c r="H91">
        <f t="shared" si="1"/>
        <v>17</v>
      </c>
    </row>
    <row r="94" spans="2:8" x14ac:dyDescent="0.2">
      <c r="C94" s="4" t="s">
        <v>72</v>
      </c>
      <c r="D94" t="s">
        <v>409</v>
      </c>
      <c r="E94" s="4" t="s">
        <v>390</v>
      </c>
      <c r="F94" s="108" t="s">
        <v>314</v>
      </c>
      <c r="G94" s="108" t="s">
        <v>31</v>
      </c>
      <c r="H94" s="108" t="s">
        <v>391</v>
      </c>
    </row>
    <row r="95" spans="2:8" x14ac:dyDescent="0.2">
      <c r="B95" t="s">
        <v>276</v>
      </c>
      <c r="C95">
        <v>1</v>
      </c>
      <c r="D95">
        <v>4</v>
      </c>
      <c r="E95">
        <v>11</v>
      </c>
      <c r="F95">
        <v>0</v>
      </c>
      <c r="G95">
        <v>0</v>
      </c>
      <c r="H95">
        <v>0</v>
      </c>
    </row>
    <row r="96" spans="2:8" x14ac:dyDescent="0.2">
      <c r="B96" t="s">
        <v>302</v>
      </c>
      <c r="C96">
        <v>13</v>
      </c>
      <c r="D96">
        <v>18</v>
      </c>
      <c r="E96">
        <v>0</v>
      </c>
      <c r="F96">
        <v>17</v>
      </c>
      <c r="G96">
        <v>22</v>
      </c>
      <c r="H96">
        <v>13</v>
      </c>
    </row>
    <row r="97" spans="2:8" x14ac:dyDescent="0.2">
      <c r="C97">
        <f>SUM(C95:C96)</f>
        <v>14</v>
      </c>
      <c r="D97">
        <f>SUM(D95:D96)</f>
        <v>22</v>
      </c>
      <c r="E97">
        <f>SUM(E95:E96)</f>
        <v>11</v>
      </c>
      <c r="F97">
        <f>SUM(F95:F96)</f>
        <v>17</v>
      </c>
      <c r="G97">
        <v>22</v>
      </c>
      <c r="H97">
        <v>13</v>
      </c>
    </row>
    <row r="99" spans="2:8" x14ac:dyDescent="0.2">
      <c r="C99" t="s">
        <v>33</v>
      </c>
      <c r="D99" t="s">
        <v>327</v>
      </c>
      <c r="E99" t="s">
        <v>34</v>
      </c>
      <c r="F99" t="s">
        <v>35</v>
      </c>
      <c r="G99" t="s">
        <v>36</v>
      </c>
    </row>
    <row r="100" spans="2:8" x14ac:dyDescent="0.2">
      <c r="B100" t="s">
        <v>276</v>
      </c>
      <c r="C100">
        <v>0</v>
      </c>
      <c r="D100">
        <v>0</v>
      </c>
      <c r="E100">
        <v>0</v>
      </c>
      <c r="F100">
        <v>0</v>
      </c>
    </row>
    <row r="101" spans="2:8" x14ac:dyDescent="0.2">
      <c r="B101" t="s">
        <v>598</v>
      </c>
      <c r="C101">
        <v>19</v>
      </c>
      <c r="D101">
        <v>18</v>
      </c>
      <c r="E101">
        <v>8</v>
      </c>
      <c r="F101">
        <v>26</v>
      </c>
    </row>
  </sheetData>
  <phoneticPr fontId="2" type="noConversion"/>
  <hyperlinks>
    <hyperlink ref="G14" r:id="rId1" xr:uid="{10AF2A6F-903F-4A11-B8E5-D40F7C573560}"/>
  </hyperlinks>
  <pageMargins left="0.70866141732283472" right="0.70866141732283472" top="0.74803149606299213" bottom="0.74803149606299213" header="0.31496062992125984" footer="0.31496062992125984"/>
  <pageSetup paperSize="9" scale="60" orientation="portrait"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6F9E-FB59-4398-9705-4ABB31A596B4}">
  <sheetPr codeName="Ark58">
    <pageSetUpPr fitToPage="1"/>
  </sheetPr>
  <dimension ref="B2:O53"/>
  <sheetViews>
    <sheetView topLeftCell="A3" workbookViewId="0">
      <selection activeCell="K23" sqref="K23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53" t="s">
        <v>322</v>
      </c>
      <c r="F4" s="1" t="s">
        <v>19</v>
      </c>
      <c r="G4" s="12" t="s">
        <v>1</v>
      </c>
      <c r="H4" s="13"/>
    </row>
    <row r="5" spans="2:8" x14ac:dyDescent="0.2">
      <c r="B5" s="1"/>
      <c r="C5" s="44" t="s">
        <v>1</v>
      </c>
      <c r="F5" s="1"/>
      <c r="G5" s="12"/>
      <c r="H5" s="13"/>
    </row>
    <row r="6" spans="2:8" x14ac:dyDescent="0.2">
      <c r="B6" s="1"/>
      <c r="C6" s="44" t="s">
        <v>1</v>
      </c>
      <c r="F6" s="1"/>
      <c r="G6" s="15" t="s">
        <v>1</v>
      </c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 t="s">
        <v>1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91</v>
      </c>
      <c r="G12" s="80">
        <v>43586</v>
      </c>
    </row>
    <row r="13" spans="2:8" ht="15.75" x14ac:dyDescent="0.25">
      <c r="B13" s="1" t="s">
        <v>8</v>
      </c>
      <c r="C13" s="88" t="s">
        <v>323</v>
      </c>
    </row>
    <row r="14" spans="2:8" x14ac:dyDescent="0.2">
      <c r="B14" s="1" t="s">
        <v>9</v>
      </c>
      <c r="C14" s="11" t="s">
        <v>1</v>
      </c>
    </row>
    <row r="15" spans="2:8" x14ac:dyDescent="0.2">
      <c r="B15" s="1"/>
      <c r="F15" s="4" t="s">
        <v>175</v>
      </c>
    </row>
    <row r="16" spans="2:8" x14ac:dyDescent="0.2">
      <c r="B16" s="1" t="s">
        <v>16</v>
      </c>
      <c r="C16" s="38" t="s">
        <v>29</v>
      </c>
    </row>
    <row r="17" spans="2:15" ht="15" x14ac:dyDescent="0.25">
      <c r="B17" s="1"/>
      <c r="K17" s="86"/>
      <c r="L17" s="86"/>
      <c r="N17" s="86"/>
      <c r="O17" s="162">
        <v>2026</v>
      </c>
    </row>
    <row r="18" spans="2:15" ht="15" x14ac:dyDescent="0.25">
      <c r="B18" s="1"/>
      <c r="C18" s="13"/>
      <c r="J18" s="163"/>
      <c r="K18" s="163"/>
      <c r="L18" s="163"/>
      <c r="M18" s="163" t="s">
        <v>785</v>
      </c>
      <c r="N18" s="163" t="s">
        <v>786</v>
      </c>
      <c r="O18" s="166" t="s">
        <v>787</v>
      </c>
    </row>
    <row r="19" spans="2:15" ht="15" x14ac:dyDescent="0.25">
      <c r="B19" s="1" t="s">
        <v>11</v>
      </c>
      <c r="C19" s="13" t="s">
        <v>39</v>
      </c>
      <c r="J19" s="163"/>
      <c r="K19" s="163"/>
      <c r="L19" s="163"/>
      <c r="M19" s="163"/>
      <c r="N19" s="163"/>
      <c r="O19" s="166"/>
    </row>
    <row r="20" spans="2:15" ht="15" x14ac:dyDescent="0.25">
      <c r="B20" s="1" t="s">
        <v>20</v>
      </c>
      <c r="C20" s="13" t="s">
        <v>1</v>
      </c>
      <c r="F20" s="40"/>
      <c r="J20" s="86"/>
      <c r="K20" s="86"/>
      <c r="L20" s="86"/>
      <c r="M20" s="86">
        <v>1</v>
      </c>
      <c r="N20" s="86">
        <v>99</v>
      </c>
      <c r="O20" s="168">
        <v>2960</v>
      </c>
    </row>
    <row r="21" spans="2:15" ht="15" x14ac:dyDescent="0.25">
      <c r="B21" s="1"/>
      <c r="C21" s="13"/>
      <c r="F21" s="44"/>
      <c r="M21">
        <v>100</v>
      </c>
      <c r="N21">
        <v>149</v>
      </c>
      <c r="O21" s="168">
        <v>3580</v>
      </c>
    </row>
    <row r="22" spans="2:15" ht="15" x14ac:dyDescent="0.25">
      <c r="B22" s="1"/>
      <c r="C22" s="13"/>
      <c r="M22">
        <v>150</v>
      </c>
      <c r="N22">
        <v>199</v>
      </c>
      <c r="O22" s="168">
        <v>4090</v>
      </c>
    </row>
    <row r="23" spans="2:15" ht="15" x14ac:dyDescent="0.25">
      <c r="B23" s="1"/>
      <c r="M23">
        <v>200</v>
      </c>
      <c r="N23">
        <v>249</v>
      </c>
      <c r="O23" s="168">
        <v>4670</v>
      </c>
    </row>
    <row r="24" spans="2:15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L24" s="86"/>
      <c r="M24">
        <v>250</v>
      </c>
      <c r="N24">
        <v>299</v>
      </c>
      <c r="O24" s="168">
        <v>5760</v>
      </c>
    </row>
    <row r="25" spans="2:15" ht="15" x14ac:dyDescent="0.25">
      <c r="H25" s="17"/>
      <c r="M25">
        <v>300</v>
      </c>
      <c r="N25">
        <v>349</v>
      </c>
      <c r="O25" s="168">
        <v>6830</v>
      </c>
    </row>
    <row r="26" spans="2:15" ht="15" x14ac:dyDescent="0.25">
      <c r="B26" s="49" t="s">
        <v>168</v>
      </c>
      <c r="D26" t="str">
        <f>Felles!C4</f>
        <v>August</v>
      </c>
      <c r="E26">
        <v>1</v>
      </c>
      <c r="F26" s="17">
        <v>2960</v>
      </c>
      <c r="G26" s="18"/>
      <c r="H26" s="17">
        <f>E26*F26</f>
        <v>2960</v>
      </c>
      <c r="M26">
        <v>350</v>
      </c>
      <c r="N26">
        <v>399</v>
      </c>
      <c r="O26" s="168">
        <v>7920</v>
      </c>
    </row>
    <row r="27" spans="2:15" ht="15" x14ac:dyDescent="0.25">
      <c r="B27" s="4"/>
      <c r="C27" s="54"/>
      <c r="D27" s="48"/>
      <c r="E27" s="48"/>
      <c r="F27" s="51"/>
      <c r="G27" s="52"/>
      <c r="H27" s="51"/>
      <c r="M27">
        <v>400</v>
      </c>
      <c r="N27">
        <v>449</v>
      </c>
      <c r="O27" s="168">
        <v>8980</v>
      </c>
    </row>
    <row r="28" spans="2:15" ht="15" x14ac:dyDescent="0.25">
      <c r="C28" t="s">
        <v>1</v>
      </c>
      <c r="D28" t="s">
        <v>1</v>
      </c>
      <c r="F28" s="17"/>
      <c r="G28" s="18"/>
      <c r="H28" s="17"/>
      <c r="M28">
        <v>450</v>
      </c>
      <c r="N28">
        <v>499</v>
      </c>
      <c r="O28" s="168">
        <v>10080</v>
      </c>
    </row>
    <row r="29" spans="2:15" ht="15" x14ac:dyDescent="0.25">
      <c r="C29" t="s">
        <v>1</v>
      </c>
      <c r="D29" t="s">
        <v>1</v>
      </c>
      <c r="F29" s="17"/>
      <c r="G29" s="18"/>
      <c r="H29" s="17"/>
      <c r="M29">
        <v>500</v>
      </c>
      <c r="N29">
        <v>549</v>
      </c>
      <c r="O29" s="168">
        <v>11150</v>
      </c>
    </row>
    <row r="30" spans="2:15" ht="15" x14ac:dyDescent="0.25">
      <c r="F30" s="17"/>
      <c r="G30" s="45" t="s">
        <v>1</v>
      </c>
      <c r="H30" s="17"/>
      <c r="M30">
        <v>550</v>
      </c>
      <c r="N30">
        <v>599</v>
      </c>
      <c r="O30" s="168">
        <v>12200</v>
      </c>
    </row>
    <row r="31" spans="2:15" ht="15" x14ac:dyDescent="0.25">
      <c r="B31" t="s">
        <v>1</v>
      </c>
      <c r="F31" s="17"/>
      <c r="G31" s="18"/>
      <c r="H31" s="17"/>
      <c r="M31">
        <v>600</v>
      </c>
      <c r="N31">
        <v>649</v>
      </c>
      <c r="O31" s="168">
        <v>13260</v>
      </c>
    </row>
    <row r="32" spans="2:15" ht="15" x14ac:dyDescent="0.25">
      <c r="B32" s="8" t="s">
        <v>21</v>
      </c>
      <c r="C32" t="s">
        <v>1</v>
      </c>
      <c r="F32" s="17"/>
      <c r="G32" s="18"/>
      <c r="H32" s="17"/>
      <c r="M32">
        <v>650</v>
      </c>
      <c r="N32">
        <v>699</v>
      </c>
      <c r="O32" s="168">
        <v>14360</v>
      </c>
    </row>
    <row r="33" spans="2:15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M33">
        <v>700</v>
      </c>
      <c r="N33">
        <v>749</v>
      </c>
      <c r="O33" s="168">
        <v>15430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M34">
        <v>750</v>
      </c>
      <c r="N34">
        <v>799</v>
      </c>
      <c r="O34" s="168">
        <v>16530</v>
      </c>
    </row>
    <row r="35" spans="2:15" ht="15" x14ac:dyDescent="0.25">
      <c r="B35" s="11"/>
      <c r="C35" s="11"/>
      <c r="D35" s="11"/>
      <c r="E35" s="11"/>
      <c r="F35" s="22"/>
      <c r="G35" s="22"/>
      <c r="H35" s="17"/>
      <c r="M35">
        <v>800</v>
      </c>
      <c r="N35">
        <v>849</v>
      </c>
      <c r="O35" s="168">
        <v>17590</v>
      </c>
    </row>
    <row r="36" spans="2:15" ht="15" x14ac:dyDescent="0.25">
      <c r="F36" s="17"/>
      <c r="G36" s="17"/>
      <c r="H36" s="17"/>
      <c r="M36">
        <v>850</v>
      </c>
      <c r="N36">
        <v>899</v>
      </c>
      <c r="O36" s="168">
        <v>18680</v>
      </c>
    </row>
    <row r="37" spans="2:15" ht="15" x14ac:dyDescent="0.25">
      <c r="F37" s="17"/>
      <c r="G37" s="17"/>
      <c r="H37" s="17"/>
      <c r="M37">
        <v>900</v>
      </c>
      <c r="N37">
        <v>949</v>
      </c>
      <c r="O37" s="168">
        <v>19750</v>
      </c>
    </row>
    <row r="38" spans="2:15" ht="15" x14ac:dyDescent="0.25">
      <c r="F38" s="17"/>
      <c r="G38" s="17"/>
      <c r="H38" s="17"/>
      <c r="M38">
        <v>950</v>
      </c>
      <c r="N38">
        <v>999</v>
      </c>
      <c r="O38" s="168">
        <v>20820</v>
      </c>
    </row>
    <row r="39" spans="2:15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2960</v>
      </c>
      <c r="M39">
        <v>1000</v>
      </c>
      <c r="N39">
        <v>1099</v>
      </c>
      <c r="O39" s="168">
        <v>23000</v>
      </c>
    </row>
    <row r="40" spans="2:15" ht="15" x14ac:dyDescent="0.25">
      <c r="M40">
        <v>1100</v>
      </c>
      <c r="N40">
        <v>1199</v>
      </c>
      <c r="O40" s="168">
        <v>24100</v>
      </c>
    </row>
    <row r="41" spans="2:15" ht="15" x14ac:dyDescent="0.25">
      <c r="M41">
        <v>1200</v>
      </c>
      <c r="N41">
        <v>1299</v>
      </c>
      <c r="O41" s="168">
        <v>26260</v>
      </c>
    </row>
    <row r="42" spans="2:15" ht="15" x14ac:dyDescent="0.25">
      <c r="M42">
        <v>1300</v>
      </c>
      <c r="N42">
        <v>1399</v>
      </c>
      <c r="O42" s="168">
        <v>28400</v>
      </c>
    </row>
    <row r="43" spans="2:15" ht="15" x14ac:dyDescent="0.25">
      <c r="M43">
        <v>1400</v>
      </c>
      <c r="N43">
        <v>1499</v>
      </c>
      <c r="O43" s="168">
        <v>30240</v>
      </c>
    </row>
    <row r="44" spans="2:15" ht="15" x14ac:dyDescent="0.25">
      <c r="M44">
        <v>1500</v>
      </c>
      <c r="N44">
        <v>1599</v>
      </c>
      <c r="O44" s="168">
        <v>32710</v>
      </c>
    </row>
    <row r="45" spans="2:15" ht="15" x14ac:dyDescent="0.25">
      <c r="M45">
        <v>1600</v>
      </c>
      <c r="N45">
        <v>1699</v>
      </c>
      <c r="O45" s="168">
        <v>34890</v>
      </c>
    </row>
    <row r="46" spans="2:15" ht="15" x14ac:dyDescent="0.25">
      <c r="M46">
        <v>1700</v>
      </c>
      <c r="N46">
        <v>1799</v>
      </c>
      <c r="O46" s="168">
        <v>37060</v>
      </c>
    </row>
    <row r="47" spans="2:15" ht="15" x14ac:dyDescent="0.25">
      <c r="M47">
        <v>1800</v>
      </c>
      <c r="N47">
        <v>1899</v>
      </c>
      <c r="O47" s="168">
        <v>39200</v>
      </c>
    </row>
    <row r="48" spans="2:15" ht="15" x14ac:dyDescent="0.25">
      <c r="M48">
        <v>1900</v>
      </c>
      <c r="N48">
        <v>1999</v>
      </c>
      <c r="O48" s="168">
        <v>41380</v>
      </c>
    </row>
    <row r="49" spans="13:15" ht="15" x14ac:dyDescent="0.25">
      <c r="M49">
        <v>2000</v>
      </c>
      <c r="N49">
        <v>2099</v>
      </c>
      <c r="O49" s="168">
        <v>43500</v>
      </c>
    </row>
    <row r="50" spans="13:15" ht="15" x14ac:dyDescent="0.25">
      <c r="M50">
        <v>2100</v>
      </c>
      <c r="N50">
        <v>2199</v>
      </c>
      <c r="O50" s="168">
        <v>45650</v>
      </c>
    </row>
    <row r="51" spans="13:15" ht="15" x14ac:dyDescent="0.25">
      <c r="M51">
        <v>2200</v>
      </c>
      <c r="N51">
        <v>2299</v>
      </c>
      <c r="O51" s="168">
        <v>47850</v>
      </c>
    </row>
    <row r="52" spans="13:15" ht="15" x14ac:dyDescent="0.25">
      <c r="M52">
        <v>2300</v>
      </c>
      <c r="N52">
        <v>2399</v>
      </c>
      <c r="O52" s="168">
        <v>49980</v>
      </c>
    </row>
    <row r="53" spans="13:15" ht="15" x14ac:dyDescent="0.25">
      <c r="M53">
        <v>2400</v>
      </c>
      <c r="N53">
        <v>2499</v>
      </c>
      <c r="O53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5ED4-E59E-4E13-9D6B-756976E21681}">
  <sheetPr codeName="Ark60">
    <pageSetUpPr fitToPage="1"/>
  </sheetPr>
  <dimension ref="B2:Q52"/>
  <sheetViews>
    <sheetView topLeftCell="A9" workbookViewId="0">
      <selection activeCell="C31" sqref="C31"/>
    </sheetView>
  </sheetViews>
  <sheetFormatPr baseColWidth="10" defaultRowHeight="12.75" x14ac:dyDescent="0.2"/>
  <cols>
    <col min="1" max="1" width="4.42578125" customWidth="1"/>
    <col min="2" max="2" width="17.140625" customWidth="1"/>
  </cols>
  <sheetData>
    <row r="2" spans="2:17" ht="20.25" x14ac:dyDescent="0.3">
      <c r="B2" s="10" t="s">
        <v>22</v>
      </c>
    </row>
    <row r="4" spans="2:17" x14ac:dyDescent="0.2">
      <c r="B4" s="1" t="s">
        <v>0</v>
      </c>
      <c r="C4" s="1" t="s">
        <v>103</v>
      </c>
      <c r="F4" s="1" t="s">
        <v>19</v>
      </c>
      <c r="G4" s="12" t="s">
        <v>1</v>
      </c>
      <c r="H4" s="13"/>
    </row>
    <row r="5" spans="2:17" x14ac:dyDescent="0.2">
      <c r="B5" s="1"/>
      <c r="C5" s="44" t="s">
        <v>1</v>
      </c>
      <c r="F5" s="1"/>
      <c r="G5" s="12"/>
      <c r="H5" s="13"/>
    </row>
    <row r="6" spans="2:17" x14ac:dyDescent="0.2">
      <c r="B6" s="1"/>
      <c r="C6" s="44" t="s">
        <v>1</v>
      </c>
      <c r="F6" s="1"/>
      <c r="G6" s="15" t="s">
        <v>1</v>
      </c>
      <c r="H6" s="13"/>
    </row>
    <row r="7" spans="2:17" x14ac:dyDescent="0.2">
      <c r="B7" s="1"/>
      <c r="C7" s="4"/>
      <c r="F7" s="1" t="s">
        <v>414</v>
      </c>
      <c r="G7" s="12"/>
      <c r="H7" s="13"/>
    </row>
    <row r="8" spans="2:17" x14ac:dyDescent="0.2">
      <c r="B8" s="1"/>
      <c r="C8" s="4"/>
      <c r="F8" s="1"/>
      <c r="G8" s="12"/>
      <c r="H8" s="13"/>
    </row>
    <row r="9" spans="2:17" x14ac:dyDescent="0.2">
      <c r="B9" s="1" t="s">
        <v>18</v>
      </c>
      <c r="C9" s="4">
        <v>31909</v>
      </c>
      <c r="F9" s="1"/>
      <c r="G9" s="1"/>
      <c r="H9" s="13"/>
    </row>
    <row r="10" spans="2:17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17" x14ac:dyDescent="0.2">
      <c r="B11" s="1"/>
    </row>
    <row r="12" spans="2:17" x14ac:dyDescent="0.2">
      <c r="B12" s="8" t="s">
        <v>7</v>
      </c>
      <c r="F12" t="s">
        <v>1</v>
      </c>
    </row>
    <row r="13" spans="2:17" x14ac:dyDescent="0.2">
      <c r="B13" s="1" t="s">
        <v>8</v>
      </c>
      <c r="C13" s="4" t="s">
        <v>1</v>
      </c>
      <c r="F13" t="s">
        <v>89</v>
      </c>
    </row>
    <row r="14" spans="2:17" x14ac:dyDescent="0.2">
      <c r="B14" s="1" t="s">
        <v>9</v>
      </c>
      <c r="C14" s="11" t="s">
        <v>104</v>
      </c>
    </row>
    <row r="15" spans="2:17" ht="15" x14ac:dyDescent="0.25">
      <c r="B15" s="1"/>
      <c r="F15" t="s">
        <v>90</v>
      </c>
      <c r="G15" t="s">
        <v>100</v>
      </c>
      <c r="M15" s="86"/>
      <c r="N15" s="86"/>
      <c r="P15" s="86"/>
      <c r="Q15" s="162">
        <v>2026</v>
      </c>
    </row>
    <row r="16" spans="2:17" ht="15" x14ac:dyDescent="0.25">
      <c r="B16" s="1" t="s">
        <v>16</v>
      </c>
      <c r="C16" s="38" t="s">
        <v>29</v>
      </c>
      <c r="L16" s="163"/>
      <c r="M16" s="163"/>
      <c r="N16" s="163"/>
      <c r="O16" s="163" t="s">
        <v>785</v>
      </c>
      <c r="P16" s="163" t="s">
        <v>786</v>
      </c>
      <c r="Q16" s="166" t="s">
        <v>787</v>
      </c>
    </row>
    <row r="17" spans="2:17" ht="15" x14ac:dyDescent="0.25">
      <c r="B17" s="1"/>
      <c r="F17" t="s">
        <v>101</v>
      </c>
      <c r="L17" s="163"/>
      <c r="M17" s="163"/>
      <c r="N17" s="163"/>
      <c r="O17" s="163"/>
      <c r="P17" s="163"/>
      <c r="Q17" s="166"/>
    </row>
    <row r="18" spans="2:17" ht="15" x14ac:dyDescent="0.25">
      <c r="B18" s="1"/>
      <c r="C18" s="13"/>
      <c r="F18" t="s">
        <v>102</v>
      </c>
      <c r="L18" s="86"/>
      <c r="M18" s="86"/>
      <c r="N18" s="86"/>
      <c r="O18" s="86">
        <v>1</v>
      </c>
      <c r="P18" s="86">
        <v>99</v>
      </c>
      <c r="Q18" s="168">
        <v>2960</v>
      </c>
    </row>
    <row r="19" spans="2:17" ht="15" x14ac:dyDescent="0.25">
      <c r="B19" s="1" t="s">
        <v>11</v>
      </c>
      <c r="C19" s="13" t="s">
        <v>39</v>
      </c>
      <c r="O19">
        <v>100</v>
      </c>
      <c r="P19">
        <v>149</v>
      </c>
      <c r="Q19" s="168">
        <v>3580</v>
      </c>
    </row>
    <row r="20" spans="2:17" ht="15" x14ac:dyDescent="0.25">
      <c r="B20" s="1" t="s">
        <v>20</v>
      </c>
      <c r="C20" s="13" t="s">
        <v>1</v>
      </c>
      <c r="F20" s="40" t="s">
        <v>105</v>
      </c>
      <c r="O20">
        <v>150</v>
      </c>
      <c r="P20">
        <v>199</v>
      </c>
      <c r="Q20" s="168">
        <v>4090</v>
      </c>
    </row>
    <row r="21" spans="2:17" ht="15" x14ac:dyDescent="0.25">
      <c r="B21" s="1"/>
      <c r="C21" s="13"/>
      <c r="F21" s="44" t="s">
        <v>106</v>
      </c>
      <c r="O21">
        <v>200</v>
      </c>
      <c r="P21">
        <v>249</v>
      </c>
      <c r="Q21" s="168">
        <v>4670</v>
      </c>
    </row>
    <row r="22" spans="2:17" ht="15" x14ac:dyDescent="0.25">
      <c r="B22" s="1"/>
      <c r="C22" s="13"/>
      <c r="N22" s="86"/>
      <c r="O22">
        <v>250</v>
      </c>
      <c r="P22">
        <v>299</v>
      </c>
      <c r="Q22" s="168">
        <v>5760</v>
      </c>
    </row>
    <row r="23" spans="2:17" ht="15" x14ac:dyDescent="0.25">
      <c r="B23" s="1"/>
      <c r="C23" s="13"/>
      <c r="F23" s="4" t="s">
        <v>247</v>
      </c>
      <c r="O23">
        <v>300</v>
      </c>
      <c r="P23">
        <v>349</v>
      </c>
      <c r="Q23" s="168">
        <v>6830</v>
      </c>
    </row>
    <row r="24" spans="2:17" ht="15" x14ac:dyDescent="0.25">
      <c r="B24" s="1"/>
      <c r="C24" s="13"/>
      <c r="O24">
        <v>350</v>
      </c>
      <c r="P24">
        <v>399</v>
      </c>
      <c r="Q24" s="168">
        <v>7920</v>
      </c>
    </row>
    <row r="25" spans="2:17" ht="15" x14ac:dyDescent="0.25">
      <c r="B25" s="1"/>
      <c r="C25" s="13"/>
      <c r="O25">
        <v>400</v>
      </c>
      <c r="P25">
        <v>449</v>
      </c>
      <c r="Q25" s="168">
        <v>8980</v>
      </c>
    </row>
    <row r="26" spans="2:17" ht="15" x14ac:dyDescent="0.25">
      <c r="B26" s="1"/>
      <c r="O26">
        <v>450</v>
      </c>
      <c r="P26">
        <v>499</v>
      </c>
      <c r="Q26" s="168">
        <v>10080</v>
      </c>
    </row>
    <row r="27" spans="2:17" ht="15" x14ac:dyDescent="0.25">
      <c r="B27" s="8" t="s">
        <v>15</v>
      </c>
      <c r="C27" s="2"/>
      <c r="E27" s="21" t="s">
        <v>12</v>
      </c>
      <c r="F27" s="21" t="s">
        <v>13</v>
      </c>
      <c r="G27" s="8"/>
      <c r="H27" s="16" t="s">
        <v>14</v>
      </c>
      <c r="O27">
        <v>500</v>
      </c>
      <c r="P27">
        <v>549</v>
      </c>
      <c r="Q27" s="168">
        <v>11150</v>
      </c>
    </row>
    <row r="28" spans="2:17" ht="15" x14ac:dyDescent="0.25">
      <c r="H28" s="17"/>
      <c r="O28">
        <v>550</v>
      </c>
      <c r="P28">
        <v>599</v>
      </c>
      <c r="Q28" s="168">
        <v>12200</v>
      </c>
    </row>
    <row r="29" spans="2:17" ht="15" x14ac:dyDescent="0.25">
      <c r="B29" s="49" t="s">
        <v>168</v>
      </c>
      <c r="D29" t="str">
        <f>Felles!C4</f>
        <v>August</v>
      </c>
      <c r="E29">
        <v>1</v>
      </c>
      <c r="F29" s="17">
        <v>2960</v>
      </c>
      <c r="G29" s="18"/>
      <c r="H29" s="17">
        <f>E29*F29</f>
        <v>2960</v>
      </c>
      <c r="O29">
        <v>600</v>
      </c>
      <c r="P29">
        <v>649</v>
      </c>
      <c r="Q29" s="168">
        <v>13260</v>
      </c>
    </row>
    <row r="30" spans="2:17" ht="15" x14ac:dyDescent="0.25">
      <c r="B30" s="4"/>
      <c r="C30" s="54"/>
      <c r="D30" s="48"/>
      <c r="E30" s="48"/>
      <c r="F30" s="51"/>
      <c r="G30" s="52"/>
      <c r="H30" s="17"/>
      <c r="J30" s="4" t="s">
        <v>1</v>
      </c>
      <c r="O30">
        <v>650</v>
      </c>
      <c r="P30">
        <v>699</v>
      </c>
      <c r="Q30" s="168">
        <v>14360</v>
      </c>
    </row>
    <row r="31" spans="2:17" ht="15" x14ac:dyDescent="0.25">
      <c r="G31" s="18"/>
      <c r="H31" s="17"/>
      <c r="O31">
        <v>700</v>
      </c>
      <c r="P31">
        <v>749</v>
      </c>
      <c r="Q31" s="168">
        <v>15430</v>
      </c>
    </row>
    <row r="32" spans="2:17" ht="15" x14ac:dyDescent="0.25">
      <c r="F32" s="17"/>
      <c r="G32" s="18"/>
      <c r="H32" s="17"/>
      <c r="O32">
        <v>750</v>
      </c>
      <c r="P32">
        <v>799</v>
      </c>
      <c r="Q32" s="168">
        <v>16530</v>
      </c>
    </row>
    <row r="33" spans="2:17" ht="15" x14ac:dyDescent="0.25">
      <c r="D33" s="4"/>
      <c r="F33" s="17"/>
      <c r="G33" s="45"/>
      <c r="H33" s="17"/>
      <c r="O33">
        <v>800</v>
      </c>
      <c r="P33">
        <v>849</v>
      </c>
      <c r="Q33" s="168">
        <v>17590</v>
      </c>
    </row>
    <row r="34" spans="2:17" ht="15" x14ac:dyDescent="0.25">
      <c r="D34" s="108"/>
      <c r="F34" s="17"/>
      <c r="G34" s="18"/>
      <c r="H34" s="17"/>
      <c r="O34">
        <v>850</v>
      </c>
      <c r="P34">
        <v>899</v>
      </c>
      <c r="Q34" s="168">
        <v>18680</v>
      </c>
    </row>
    <row r="35" spans="2:17" ht="15" x14ac:dyDescent="0.25">
      <c r="D35" s="108"/>
      <c r="F35" s="17"/>
      <c r="G35" s="18"/>
      <c r="H35" s="17"/>
      <c r="O35">
        <v>900</v>
      </c>
      <c r="P35">
        <v>949</v>
      </c>
      <c r="Q35" s="168">
        <v>19750</v>
      </c>
    </row>
    <row r="36" spans="2:17" ht="15" x14ac:dyDescent="0.25">
      <c r="D36" s="108"/>
      <c r="F36" s="17"/>
      <c r="G36" s="18"/>
      <c r="H36" s="17"/>
      <c r="O36">
        <v>950</v>
      </c>
      <c r="P36">
        <v>999</v>
      </c>
      <c r="Q36" s="168">
        <v>20820</v>
      </c>
    </row>
    <row r="37" spans="2:17" ht="15" x14ac:dyDescent="0.25">
      <c r="D37" s="108"/>
      <c r="F37" s="17"/>
      <c r="G37" s="18"/>
      <c r="H37" s="17"/>
      <c r="O37">
        <v>1000</v>
      </c>
      <c r="P37">
        <v>1099</v>
      </c>
      <c r="Q37" s="168">
        <v>23000</v>
      </c>
    </row>
    <row r="38" spans="2:17" ht="15" x14ac:dyDescent="0.25">
      <c r="D38" s="108"/>
      <c r="F38" s="17"/>
      <c r="G38" s="18"/>
      <c r="H38" s="17"/>
      <c r="O38">
        <v>1100</v>
      </c>
      <c r="P38">
        <v>1199</v>
      </c>
      <c r="Q38" s="168">
        <v>24100</v>
      </c>
    </row>
    <row r="39" spans="2:17" ht="15" x14ac:dyDescent="0.25">
      <c r="D39" s="108"/>
      <c r="F39" s="17"/>
      <c r="G39" s="18"/>
      <c r="H39" s="17"/>
      <c r="O39">
        <v>1200</v>
      </c>
      <c r="P39">
        <v>1299</v>
      </c>
      <c r="Q39" s="168">
        <v>26260</v>
      </c>
    </row>
    <row r="40" spans="2:17" ht="15" x14ac:dyDescent="0.25">
      <c r="D40" s="108"/>
      <c r="F40" s="17"/>
      <c r="G40" s="18"/>
      <c r="H40" s="17"/>
      <c r="O40">
        <v>1300</v>
      </c>
      <c r="P40">
        <v>1399</v>
      </c>
      <c r="Q40" s="168">
        <v>28400</v>
      </c>
    </row>
    <row r="41" spans="2:17" ht="15" x14ac:dyDescent="0.25">
      <c r="B41" s="8" t="s">
        <v>21</v>
      </c>
      <c r="C41" t="s">
        <v>1</v>
      </c>
      <c r="D41" s="108"/>
      <c r="F41" s="17"/>
      <c r="G41" s="18"/>
      <c r="H41" s="17"/>
      <c r="O41">
        <v>1400</v>
      </c>
      <c r="P41">
        <v>1499</v>
      </c>
      <c r="Q41" s="168">
        <v>30240</v>
      </c>
    </row>
    <row r="42" spans="2:17" ht="15" x14ac:dyDescent="0.25">
      <c r="B42" s="11" t="s">
        <v>1</v>
      </c>
      <c r="C42" s="11"/>
      <c r="D42" s="11"/>
      <c r="E42" s="11" t="s">
        <v>1</v>
      </c>
      <c r="F42" s="22" t="s">
        <v>1</v>
      </c>
      <c r="G42" s="23"/>
      <c r="H42" s="17" t="s">
        <v>1</v>
      </c>
      <c r="O42">
        <v>1500</v>
      </c>
      <c r="P42">
        <v>1599</v>
      </c>
      <c r="Q42" s="168">
        <v>32710</v>
      </c>
    </row>
    <row r="43" spans="2:17" ht="15" x14ac:dyDescent="0.25">
      <c r="B43" s="11"/>
      <c r="C43" s="11"/>
      <c r="D43" s="11"/>
      <c r="E43" s="11"/>
      <c r="F43" s="22"/>
      <c r="G43" s="22"/>
      <c r="H43" s="17"/>
      <c r="O43">
        <v>1600</v>
      </c>
      <c r="P43">
        <v>1699</v>
      </c>
      <c r="Q43" s="168">
        <v>34890</v>
      </c>
    </row>
    <row r="44" spans="2:17" ht="15" x14ac:dyDescent="0.25">
      <c r="B44" s="11"/>
      <c r="C44" s="11"/>
      <c r="D44" s="11"/>
      <c r="E44" s="11"/>
      <c r="F44" s="22"/>
      <c r="G44" s="22"/>
      <c r="H44" s="17"/>
      <c r="O44">
        <v>1700</v>
      </c>
      <c r="P44">
        <v>1799</v>
      </c>
      <c r="Q44" s="168">
        <v>37060</v>
      </c>
    </row>
    <row r="45" spans="2:17" ht="15" x14ac:dyDescent="0.25">
      <c r="F45" s="17"/>
      <c r="G45" s="17"/>
      <c r="H45" s="17"/>
      <c r="O45">
        <v>1800</v>
      </c>
      <c r="P45">
        <v>1899</v>
      </c>
      <c r="Q45" s="168">
        <v>39200</v>
      </c>
    </row>
    <row r="46" spans="2:17" ht="15" x14ac:dyDescent="0.25">
      <c r="F46" s="17"/>
      <c r="G46" s="17"/>
      <c r="H46" s="17"/>
      <c r="O46">
        <v>1900</v>
      </c>
      <c r="P46">
        <v>1999</v>
      </c>
      <c r="Q46" s="168">
        <v>41380</v>
      </c>
    </row>
    <row r="47" spans="2:17" ht="15" x14ac:dyDescent="0.25">
      <c r="F47" s="17"/>
      <c r="G47" s="17"/>
      <c r="H47" s="17"/>
      <c r="O47">
        <v>2000</v>
      </c>
      <c r="P47">
        <v>2099</v>
      </c>
      <c r="Q47" s="168">
        <v>43500</v>
      </c>
    </row>
    <row r="48" spans="2:17" ht="15.75" x14ac:dyDescent="0.25">
      <c r="B48" s="3" t="s">
        <v>23</v>
      </c>
      <c r="C48" s="3"/>
      <c r="D48" s="3"/>
      <c r="E48" s="3"/>
      <c r="F48" s="19"/>
      <c r="G48" s="19"/>
      <c r="H48" s="19">
        <f>SUM(H29:H47)</f>
        <v>2960</v>
      </c>
      <c r="O48">
        <v>2100</v>
      </c>
      <c r="P48">
        <v>2199</v>
      </c>
      <c r="Q48" s="168">
        <v>45650</v>
      </c>
    </row>
    <row r="49" spans="2:17" ht="15" x14ac:dyDescent="0.25">
      <c r="O49">
        <v>2200</v>
      </c>
      <c r="P49">
        <v>2299</v>
      </c>
      <c r="Q49" s="168">
        <v>47850</v>
      </c>
    </row>
    <row r="50" spans="2:17" ht="15" x14ac:dyDescent="0.25">
      <c r="B50" s="28" t="s">
        <v>25</v>
      </c>
      <c r="C50" t="s">
        <v>1</v>
      </c>
      <c r="O50">
        <v>2300</v>
      </c>
      <c r="P50">
        <v>2399</v>
      </c>
      <c r="Q50" s="168">
        <v>49980</v>
      </c>
    </row>
    <row r="51" spans="2:17" ht="15" x14ac:dyDescent="0.25">
      <c r="B51" s="26" t="s">
        <v>27</v>
      </c>
      <c r="C51" s="26" t="s">
        <v>38</v>
      </c>
      <c r="O51">
        <v>2400</v>
      </c>
      <c r="P51">
        <v>2499</v>
      </c>
      <c r="Q51" s="168">
        <v>52160</v>
      </c>
    </row>
    <row r="52" spans="2:17" x14ac:dyDescent="0.2">
      <c r="B52" s="26" t="s">
        <v>26</v>
      </c>
      <c r="C52" s="26" t="s">
        <v>28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78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4FF4-2F96-4F1E-93B6-789CF67CF5E0}">
  <sheetPr codeName="Ark61">
    <pageSetUpPr fitToPage="1"/>
  </sheetPr>
  <dimension ref="B2:O54"/>
  <sheetViews>
    <sheetView topLeftCell="A20" workbookViewId="0">
      <selection activeCell="J23" sqref="J23"/>
    </sheetView>
  </sheetViews>
  <sheetFormatPr baseColWidth="10" defaultRowHeight="12.75" x14ac:dyDescent="0.2"/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231</v>
      </c>
      <c r="F4" s="1" t="s">
        <v>19</v>
      </c>
      <c r="G4" s="12" t="s">
        <v>1</v>
      </c>
      <c r="H4" s="13"/>
    </row>
    <row r="5" spans="2:8" x14ac:dyDescent="0.2">
      <c r="B5" s="1"/>
      <c r="C5" s="44" t="s">
        <v>1</v>
      </c>
      <c r="F5" s="1"/>
      <c r="G5" s="12"/>
      <c r="H5" s="13"/>
    </row>
    <row r="6" spans="2:8" x14ac:dyDescent="0.2">
      <c r="B6" s="1"/>
      <c r="C6" s="44" t="s">
        <v>1</v>
      </c>
      <c r="F6" s="1"/>
      <c r="G6" s="15" t="s">
        <v>1</v>
      </c>
      <c r="H6" s="13"/>
    </row>
    <row r="7" spans="2:8" x14ac:dyDescent="0.2">
      <c r="B7" s="1"/>
      <c r="C7" s="4"/>
      <c r="F7" s="1"/>
      <c r="G7" s="12"/>
      <c r="H7" s="13"/>
    </row>
    <row r="8" spans="2:8" x14ac:dyDescent="0.2">
      <c r="B8" s="1"/>
      <c r="C8" s="4"/>
      <c r="F8" s="1"/>
      <c r="G8" s="12"/>
      <c r="H8" s="13"/>
    </row>
    <row r="9" spans="2:8" x14ac:dyDescent="0.2">
      <c r="B9" s="1" t="s">
        <v>18</v>
      </c>
      <c r="C9" s="4">
        <v>32705</v>
      </c>
      <c r="F9" s="1"/>
      <c r="G9" s="1"/>
      <c r="H9" s="13"/>
    </row>
    <row r="10" spans="2:8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8" x14ac:dyDescent="0.2">
      <c r="B11" s="1"/>
    </row>
    <row r="12" spans="2:8" x14ac:dyDescent="0.2">
      <c r="B12" s="8" t="s">
        <v>7</v>
      </c>
      <c r="F12" t="s">
        <v>1</v>
      </c>
    </row>
    <row r="13" spans="2:8" ht="15" x14ac:dyDescent="0.25">
      <c r="B13" s="1" t="s">
        <v>8</v>
      </c>
      <c r="C13" s="76" t="s">
        <v>241</v>
      </c>
      <c r="F13" t="s">
        <v>37</v>
      </c>
    </row>
    <row r="14" spans="2:8" x14ac:dyDescent="0.2">
      <c r="B14" s="1" t="s">
        <v>9</v>
      </c>
      <c r="C14" s="11" t="s">
        <v>1</v>
      </c>
    </row>
    <row r="15" spans="2:8" x14ac:dyDescent="0.2">
      <c r="B15" s="1"/>
      <c r="F15" t="s">
        <v>109</v>
      </c>
      <c r="G15" s="61" t="s">
        <v>232</v>
      </c>
    </row>
    <row r="16" spans="2:8" x14ac:dyDescent="0.2">
      <c r="B16" s="1" t="s">
        <v>16</v>
      </c>
      <c r="C16" s="38" t="s">
        <v>29</v>
      </c>
    </row>
    <row r="17" spans="2:15" x14ac:dyDescent="0.2">
      <c r="B17" s="1"/>
      <c r="F17" t="s">
        <v>175</v>
      </c>
    </row>
    <row r="18" spans="2:15" ht="15" x14ac:dyDescent="0.25">
      <c r="B18" s="1"/>
      <c r="C18" s="13"/>
      <c r="K18" s="86"/>
      <c r="L18" s="86"/>
      <c r="N18" s="86"/>
      <c r="O18" s="162">
        <v>2026</v>
      </c>
    </row>
    <row r="19" spans="2:15" ht="15" x14ac:dyDescent="0.25">
      <c r="B19" s="1" t="s">
        <v>11</v>
      </c>
      <c r="C19" s="13" t="s">
        <v>39</v>
      </c>
      <c r="J19" s="163" t="s">
        <v>785</v>
      </c>
      <c r="K19" s="163" t="s">
        <v>786</v>
      </c>
      <c r="L19" s="163"/>
      <c r="M19" s="164"/>
      <c r="N19" s="165"/>
      <c r="O19" s="166" t="s">
        <v>787</v>
      </c>
    </row>
    <row r="20" spans="2:15" ht="15" x14ac:dyDescent="0.25">
      <c r="B20" s="1" t="s">
        <v>20</v>
      </c>
      <c r="C20" s="13" t="s">
        <v>1</v>
      </c>
      <c r="F20" s="40"/>
      <c r="J20" s="163"/>
      <c r="K20" s="163"/>
      <c r="L20" s="163"/>
      <c r="M20" s="164"/>
      <c r="N20" s="165"/>
      <c r="O20" s="166"/>
    </row>
    <row r="21" spans="2:15" ht="15" x14ac:dyDescent="0.25">
      <c r="B21" s="1"/>
      <c r="C21" s="13"/>
      <c r="F21" s="44"/>
      <c r="J21" s="86">
        <v>1</v>
      </c>
      <c r="K21" s="86">
        <v>99</v>
      </c>
      <c r="L21" s="86"/>
      <c r="N21" s="167"/>
      <c r="O21" s="168">
        <v>2960</v>
      </c>
    </row>
    <row r="22" spans="2:15" ht="15" x14ac:dyDescent="0.25">
      <c r="B22" s="1"/>
      <c r="C22" s="13"/>
      <c r="J22">
        <v>100</v>
      </c>
      <c r="K22">
        <v>149</v>
      </c>
      <c r="N22" s="167"/>
      <c r="O22" s="168">
        <v>3580</v>
      </c>
    </row>
    <row r="23" spans="2:15" ht="15" x14ac:dyDescent="0.25">
      <c r="B23" s="1"/>
      <c r="J23">
        <v>150</v>
      </c>
      <c r="K23">
        <v>199</v>
      </c>
      <c r="N23" s="167"/>
      <c r="O23" s="168">
        <v>4090</v>
      </c>
    </row>
    <row r="24" spans="2:15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J24">
        <v>200</v>
      </c>
      <c r="K24">
        <v>249</v>
      </c>
      <c r="N24" s="167"/>
      <c r="O24" s="168">
        <v>4670</v>
      </c>
    </row>
    <row r="25" spans="2:15" ht="15" x14ac:dyDescent="0.25">
      <c r="H25" s="17"/>
      <c r="J25">
        <v>250</v>
      </c>
      <c r="K25">
        <v>299</v>
      </c>
      <c r="L25" s="86"/>
      <c r="N25" s="167"/>
      <c r="O25" s="168">
        <v>5760</v>
      </c>
    </row>
    <row r="26" spans="2:15" ht="15" x14ac:dyDescent="0.25">
      <c r="B26" s="49" t="s">
        <v>168</v>
      </c>
      <c r="D26" t="str">
        <f>Felles!C4</f>
        <v>August</v>
      </c>
      <c r="E26">
        <v>1</v>
      </c>
      <c r="F26" s="17">
        <v>3580</v>
      </c>
      <c r="G26" s="18"/>
      <c r="H26" s="17">
        <f>F26*E26</f>
        <v>3580</v>
      </c>
      <c r="J26">
        <v>300</v>
      </c>
      <c r="K26">
        <v>349</v>
      </c>
      <c r="N26" s="167"/>
      <c r="O26" s="168">
        <v>6830</v>
      </c>
    </row>
    <row r="27" spans="2:15" ht="15" x14ac:dyDescent="0.25">
      <c r="B27" s="4"/>
      <c r="C27" s="54"/>
      <c r="D27" s="48"/>
      <c r="E27" s="48"/>
      <c r="F27" s="51"/>
      <c r="G27" s="52"/>
      <c r="H27" s="51"/>
      <c r="J27">
        <v>350</v>
      </c>
      <c r="K27">
        <v>399</v>
      </c>
      <c r="N27" s="167"/>
      <c r="O27" s="168">
        <v>7920</v>
      </c>
    </row>
    <row r="28" spans="2:15" ht="15" x14ac:dyDescent="0.25">
      <c r="B28" s="1" t="s">
        <v>562</v>
      </c>
      <c r="C28" t="s">
        <v>563</v>
      </c>
      <c r="D28" t="s">
        <v>1</v>
      </c>
      <c r="F28" s="17"/>
      <c r="G28" s="18"/>
      <c r="H28" s="17"/>
      <c r="J28">
        <v>400</v>
      </c>
      <c r="K28">
        <v>449</v>
      </c>
      <c r="N28" s="167"/>
      <c r="O28" s="168">
        <v>8980</v>
      </c>
    </row>
    <row r="29" spans="2:15" ht="15" x14ac:dyDescent="0.25">
      <c r="C29" t="s">
        <v>1</v>
      </c>
      <c r="D29" t="s">
        <v>1</v>
      </c>
      <c r="F29" s="17"/>
      <c r="G29" s="18"/>
      <c r="H29" s="17"/>
      <c r="J29">
        <v>450</v>
      </c>
      <c r="K29">
        <v>499</v>
      </c>
      <c r="N29" s="167"/>
      <c r="O29" s="168">
        <v>10080</v>
      </c>
    </row>
    <row r="30" spans="2:15" ht="15" x14ac:dyDescent="0.25">
      <c r="F30" s="17"/>
      <c r="G30" s="45" t="s">
        <v>1</v>
      </c>
      <c r="H30" s="17"/>
      <c r="J30">
        <v>500</v>
      </c>
      <c r="K30">
        <v>549</v>
      </c>
      <c r="N30" s="167"/>
      <c r="O30" s="168">
        <v>11150</v>
      </c>
    </row>
    <row r="31" spans="2:15" ht="15" x14ac:dyDescent="0.25">
      <c r="B31" t="s">
        <v>1</v>
      </c>
      <c r="F31" s="17"/>
      <c r="G31" s="18"/>
      <c r="H31" s="17"/>
      <c r="J31">
        <v>550</v>
      </c>
      <c r="K31">
        <v>599</v>
      </c>
      <c r="N31" s="167"/>
      <c r="O31" s="168">
        <v>12200</v>
      </c>
    </row>
    <row r="32" spans="2:15" ht="15" x14ac:dyDescent="0.25">
      <c r="B32" s="8" t="s">
        <v>21</v>
      </c>
      <c r="C32" t="s">
        <v>1</v>
      </c>
      <c r="F32" s="17"/>
      <c r="G32" s="18"/>
      <c r="H32" s="17"/>
      <c r="J32">
        <v>600</v>
      </c>
      <c r="K32">
        <v>649</v>
      </c>
      <c r="N32" s="167"/>
      <c r="O32" s="168">
        <v>13260</v>
      </c>
    </row>
    <row r="33" spans="2:15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J33">
        <v>650</v>
      </c>
      <c r="K33">
        <v>699</v>
      </c>
      <c r="N33" s="167"/>
      <c r="O33" s="168">
        <v>14360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J34">
        <v>700</v>
      </c>
      <c r="K34">
        <v>749</v>
      </c>
      <c r="N34" s="167"/>
      <c r="O34" s="168">
        <v>15430</v>
      </c>
    </row>
    <row r="35" spans="2:15" ht="15" x14ac:dyDescent="0.25">
      <c r="B35" s="11"/>
      <c r="C35" s="11"/>
      <c r="D35" s="11"/>
      <c r="E35" s="11"/>
      <c r="F35" s="22"/>
      <c r="G35" s="22"/>
      <c r="H35" s="17"/>
      <c r="J35">
        <v>750</v>
      </c>
      <c r="K35">
        <v>799</v>
      </c>
      <c r="N35" s="167"/>
      <c r="O35" s="168">
        <v>16530</v>
      </c>
    </row>
    <row r="36" spans="2:15" ht="15" x14ac:dyDescent="0.25">
      <c r="F36" s="17"/>
      <c r="G36" s="17"/>
      <c r="H36" s="17"/>
      <c r="J36">
        <v>800</v>
      </c>
      <c r="K36">
        <v>849</v>
      </c>
      <c r="N36" s="167"/>
      <c r="O36" s="168">
        <v>17590</v>
      </c>
    </row>
    <row r="37" spans="2:15" ht="15" x14ac:dyDescent="0.25">
      <c r="F37" s="17"/>
      <c r="G37" s="17"/>
      <c r="H37" s="17"/>
      <c r="J37">
        <v>850</v>
      </c>
      <c r="K37">
        <v>899</v>
      </c>
      <c r="N37" s="167"/>
      <c r="O37" s="168">
        <v>18680</v>
      </c>
    </row>
    <row r="38" spans="2:15" ht="15" x14ac:dyDescent="0.25">
      <c r="F38" s="17"/>
      <c r="G38" s="17"/>
      <c r="H38" s="17"/>
      <c r="J38">
        <v>900</v>
      </c>
      <c r="K38">
        <v>949</v>
      </c>
      <c r="N38" s="167"/>
      <c r="O38" s="168">
        <v>19750</v>
      </c>
    </row>
    <row r="39" spans="2:15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3580</v>
      </c>
      <c r="J39">
        <v>950</v>
      </c>
      <c r="K39">
        <v>999</v>
      </c>
      <c r="N39" s="167"/>
      <c r="O39" s="168">
        <v>20820</v>
      </c>
    </row>
    <row r="40" spans="2:15" ht="15" x14ac:dyDescent="0.25">
      <c r="J40">
        <v>1000</v>
      </c>
      <c r="K40">
        <v>1099</v>
      </c>
      <c r="N40" s="167"/>
      <c r="O40" s="168">
        <v>23000</v>
      </c>
    </row>
    <row r="41" spans="2:15" ht="15" x14ac:dyDescent="0.25">
      <c r="C41" s="108" t="s">
        <v>216</v>
      </c>
      <c r="D41" s="108" t="s">
        <v>348</v>
      </c>
      <c r="E41" s="108" t="s">
        <v>389</v>
      </c>
      <c r="F41" s="108" t="s">
        <v>390</v>
      </c>
      <c r="G41" s="108" t="s">
        <v>314</v>
      </c>
      <c r="H41" s="108" t="s">
        <v>380</v>
      </c>
      <c r="J41">
        <v>1100</v>
      </c>
      <c r="K41">
        <v>1199</v>
      </c>
      <c r="N41" s="167"/>
      <c r="O41" s="168">
        <v>24100</v>
      </c>
    </row>
    <row r="42" spans="2:15" ht="15" x14ac:dyDescent="0.25">
      <c r="B42" s="108" t="s">
        <v>592</v>
      </c>
      <c r="C42">
        <v>34</v>
      </c>
      <c r="D42">
        <v>29</v>
      </c>
      <c r="E42">
        <v>40</v>
      </c>
      <c r="F42">
        <v>32</v>
      </c>
      <c r="G42">
        <v>37</v>
      </c>
      <c r="H42">
        <v>38</v>
      </c>
      <c r="J42">
        <v>1200</v>
      </c>
      <c r="K42">
        <v>1299</v>
      </c>
      <c r="N42" s="167"/>
      <c r="O42" s="168">
        <v>26260</v>
      </c>
    </row>
    <row r="43" spans="2:15" ht="15.75" thickBot="1" x14ac:dyDescent="0.3">
      <c r="B43" s="108" t="s">
        <v>593</v>
      </c>
      <c r="C43">
        <v>106</v>
      </c>
      <c r="D43">
        <v>141</v>
      </c>
      <c r="E43">
        <v>152</v>
      </c>
      <c r="F43">
        <v>102</v>
      </c>
      <c r="G43">
        <v>112</v>
      </c>
      <c r="H43">
        <v>93</v>
      </c>
      <c r="J43">
        <v>1300</v>
      </c>
      <c r="K43">
        <v>1399</v>
      </c>
      <c r="N43" s="167"/>
      <c r="O43" s="168">
        <v>28400</v>
      </c>
    </row>
    <row r="44" spans="2:15" ht="15" x14ac:dyDescent="0.25">
      <c r="C44" s="185">
        <f t="shared" ref="C44:H44" si="0">SUM(C42:C43)</f>
        <v>140</v>
      </c>
      <c r="D44" s="186">
        <f t="shared" si="0"/>
        <v>170</v>
      </c>
      <c r="E44" s="186">
        <f t="shared" si="0"/>
        <v>192</v>
      </c>
      <c r="F44" s="186">
        <f t="shared" si="0"/>
        <v>134</v>
      </c>
      <c r="G44" s="186">
        <f t="shared" si="0"/>
        <v>149</v>
      </c>
      <c r="H44" s="187">
        <f t="shared" si="0"/>
        <v>131</v>
      </c>
      <c r="J44">
        <v>1400</v>
      </c>
      <c r="K44">
        <v>1499</v>
      </c>
      <c r="N44" s="167"/>
      <c r="O44" s="168">
        <v>30240</v>
      </c>
    </row>
    <row r="45" spans="2:15" ht="15" x14ac:dyDescent="0.25">
      <c r="J45">
        <v>1500</v>
      </c>
      <c r="K45">
        <v>1599</v>
      </c>
      <c r="N45" s="167"/>
      <c r="O45" s="168">
        <v>32710</v>
      </c>
    </row>
    <row r="46" spans="2:15" ht="15" x14ac:dyDescent="0.25">
      <c r="B46" s="108"/>
      <c r="C46" s="108" t="s">
        <v>391</v>
      </c>
      <c r="D46" s="108" t="s">
        <v>329</v>
      </c>
      <c r="E46" s="108" t="s">
        <v>602</v>
      </c>
      <c r="F46" s="108" t="s">
        <v>613</v>
      </c>
      <c r="G46" s="108" t="s">
        <v>35</v>
      </c>
      <c r="H46" s="108" t="s">
        <v>36</v>
      </c>
      <c r="J46">
        <v>1600</v>
      </c>
      <c r="K46">
        <v>1699</v>
      </c>
      <c r="N46" s="167"/>
      <c r="O46" s="168">
        <v>34890</v>
      </c>
    </row>
    <row r="47" spans="2:15" ht="15" x14ac:dyDescent="0.25">
      <c r="B47" s="108" t="s">
        <v>842</v>
      </c>
      <c r="C47">
        <v>16</v>
      </c>
      <c r="D47">
        <v>26</v>
      </c>
      <c r="J47">
        <v>1700</v>
      </c>
      <c r="K47">
        <v>1799</v>
      </c>
      <c r="N47" s="167"/>
      <c r="O47" s="168">
        <v>37060</v>
      </c>
    </row>
    <row r="48" spans="2:15" ht="15" x14ac:dyDescent="0.25">
      <c r="B48" s="108" t="s">
        <v>843</v>
      </c>
      <c r="C48">
        <v>53</v>
      </c>
      <c r="D48">
        <v>149</v>
      </c>
      <c r="J48">
        <v>1800</v>
      </c>
      <c r="K48">
        <v>1899</v>
      </c>
      <c r="N48" s="167"/>
      <c r="O48" s="168">
        <v>39200</v>
      </c>
    </row>
    <row r="49" spans="3:15" ht="15" x14ac:dyDescent="0.25">
      <c r="C49" s="1">
        <f>SUM(C47:C48)</f>
        <v>69</v>
      </c>
      <c r="D49" s="1">
        <f>SUM(D47:D48)</f>
        <v>175</v>
      </c>
      <c r="E49" s="1"/>
      <c r="F49" s="1"/>
      <c r="G49" s="1"/>
      <c r="H49" s="1"/>
      <c r="J49">
        <v>1900</v>
      </c>
      <c r="K49">
        <v>1999</v>
      </c>
      <c r="N49" s="167"/>
      <c r="O49" s="168">
        <v>41380</v>
      </c>
    </row>
    <row r="50" spans="3:15" ht="15" x14ac:dyDescent="0.25">
      <c r="J50">
        <v>2000</v>
      </c>
      <c r="K50">
        <v>2099</v>
      </c>
      <c r="N50" s="167"/>
      <c r="O50" s="168">
        <v>43500</v>
      </c>
    </row>
    <row r="51" spans="3:15" ht="15" x14ac:dyDescent="0.25">
      <c r="J51">
        <v>2100</v>
      </c>
      <c r="K51">
        <v>2199</v>
      </c>
      <c r="N51" s="167"/>
      <c r="O51" s="168">
        <v>45650</v>
      </c>
    </row>
    <row r="52" spans="3:15" ht="15" x14ac:dyDescent="0.25">
      <c r="J52">
        <v>2200</v>
      </c>
      <c r="K52">
        <v>2299</v>
      </c>
      <c r="N52" s="167"/>
      <c r="O52" s="168">
        <v>47850</v>
      </c>
    </row>
    <row r="53" spans="3:15" ht="15" x14ac:dyDescent="0.25">
      <c r="J53">
        <v>2300</v>
      </c>
      <c r="K53">
        <v>2399</v>
      </c>
      <c r="N53" s="167"/>
      <c r="O53" s="168">
        <v>49980</v>
      </c>
    </row>
    <row r="54" spans="3:15" ht="15" x14ac:dyDescent="0.25">
      <c r="J54">
        <v>2400</v>
      </c>
      <c r="K54">
        <v>2499</v>
      </c>
      <c r="N54" s="167"/>
      <c r="O54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A24F-9DAD-4875-9312-753DC0A6FB06}">
  <sheetPr codeName="Ark63">
    <pageSetUpPr fitToPage="1"/>
  </sheetPr>
  <dimension ref="B2:O50"/>
  <sheetViews>
    <sheetView workbookViewId="0">
      <selection activeCell="F27" sqref="F27"/>
    </sheetView>
  </sheetViews>
  <sheetFormatPr baseColWidth="10" defaultRowHeight="12.75" x14ac:dyDescent="0.2"/>
  <cols>
    <col min="1" max="1" width="4.85546875" customWidth="1"/>
    <col min="2" max="2" width="23" customWidth="1"/>
    <col min="4" max="4" width="13.85546875" customWidth="1"/>
    <col min="5" max="5" width="9.140625" customWidth="1"/>
    <col min="7" max="7" width="10.85546875" customWidth="1"/>
    <col min="8" max="8" width="0" hidden="1" customWidth="1"/>
  </cols>
  <sheetData>
    <row r="2" spans="2:15" ht="20.25" x14ac:dyDescent="0.3">
      <c r="B2" s="10" t="s">
        <v>22</v>
      </c>
    </row>
    <row r="4" spans="2:15" x14ac:dyDescent="0.2">
      <c r="B4" s="1" t="s">
        <v>0</v>
      </c>
      <c r="C4" s="1" t="s">
        <v>401</v>
      </c>
      <c r="F4" s="1" t="s">
        <v>19</v>
      </c>
      <c r="G4" s="12" t="s">
        <v>1</v>
      </c>
      <c r="H4" s="13"/>
    </row>
    <row r="5" spans="2:15" x14ac:dyDescent="0.2">
      <c r="B5" s="1"/>
      <c r="C5" s="4" t="s">
        <v>1</v>
      </c>
      <c r="F5" s="1"/>
      <c r="G5" s="12"/>
      <c r="H5" s="13"/>
    </row>
    <row r="6" spans="2:15" x14ac:dyDescent="0.2">
      <c r="B6" s="44" t="s">
        <v>166</v>
      </c>
      <c r="C6" s="4"/>
      <c r="F6" s="1"/>
      <c r="G6" s="12"/>
      <c r="H6" s="13"/>
    </row>
    <row r="7" spans="2:15" x14ac:dyDescent="0.2">
      <c r="B7" s="44" t="s">
        <v>167</v>
      </c>
      <c r="C7" s="4"/>
      <c r="F7" s="1"/>
      <c r="G7" s="12"/>
      <c r="H7" s="13"/>
    </row>
    <row r="8" spans="2:15" x14ac:dyDescent="0.2">
      <c r="B8" s="1"/>
      <c r="C8" s="4"/>
      <c r="F8" s="1"/>
      <c r="G8" s="12"/>
      <c r="H8" s="13"/>
    </row>
    <row r="9" spans="2:15" x14ac:dyDescent="0.2">
      <c r="B9" s="1" t="s">
        <v>18</v>
      </c>
      <c r="C9" s="4" t="s">
        <v>46</v>
      </c>
      <c r="F9" s="1"/>
      <c r="G9" s="1"/>
      <c r="H9" s="13"/>
    </row>
    <row r="10" spans="2:15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15" x14ac:dyDescent="0.2">
      <c r="B11" s="1"/>
    </row>
    <row r="12" spans="2:15" x14ac:dyDescent="0.2">
      <c r="B12" s="8" t="s">
        <v>7</v>
      </c>
    </row>
    <row r="13" spans="2:15" x14ac:dyDescent="0.2">
      <c r="B13" s="1" t="s">
        <v>8</v>
      </c>
      <c r="C13" s="4" t="s">
        <v>1</v>
      </c>
      <c r="G13" t="s">
        <v>1</v>
      </c>
    </row>
    <row r="14" spans="2:15" ht="15" x14ac:dyDescent="0.25">
      <c r="B14" s="1" t="s">
        <v>9</v>
      </c>
      <c r="C14" s="11" t="s">
        <v>1</v>
      </c>
      <c r="F14" s="50" t="s">
        <v>195</v>
      </c>
      <c r="G14" s="108" t="s">
        <v>37</v>
      </c>
      <c r="K14" s="86"/>
      <c r="L14" s="86"/>
      <c r="N14" s="86"/>
      <c r="O14" s="162">
        <v>2026</v>
      </c>
    </row>
    <row r="15" spans="2:15" ht="15" x14ac:dyDescent="0.25">
      <c r="B15" s="1"/>
      <c r="J15" s="163" t="s">
        <v>785</v>
      </c>
      <c r="K15" s="163" t="s">
        <v>786</v>
      </c>
      <c r="L15" s="163"/>
      <c r="M15" s="164"/>
      <c r="N15" s="165"/>
      <c r="O15" s="166" t="s">
        <v>787</v>
      </c>
    </row>
    <row r="16" spans="2:15" ht="15" x14ac:dyDescent="0.25">
      <c r="B16" s="1" t="s">
        <v>16</v>
      </c>
      <c r="C16" s="11" t="s">
        <v>29</v>
      </c>
      <c r="J16" s="163"/>
      <c r="K16" s="163"/>
      <c r="L16" s="163"/>
      <c r="M16" s="164"/>
      <c r="N16" s="165"/>
      <c r="O16" s="166"/>
    </row>
    <row r="17" spans="2:15" ht="15" x14ac:dyDescent="0.25">
      <c r="B17" s="1"/>
      <c r="J17" s="86">
        <v>1</v>
      </c>
      <c r="K17" s="86">
        <v>99</v>
      </c>
      <c r="L17" s="86"/>
      <c r="N17" s="167"/>
      <c r="O17" s="168">
        <v>2960</v>
      </c>
    </row>
    <row r="18" spans="2:15" ht="15" x14ac:dyDescent="0.25">
      <c r="B18" s="1"/>
      <c r="C18" s="13"/>
      <c r="J18">
        <v>100</v>
      </c>
      <c r="K18">
        <v>149</v>
      </c>
      <c r="N18" s="167"/>
      <c r="O18" s="168">
        <v>3580</v>
      </c>
    </row>
    <row r="19" spans="2:15" ht="15" x14ac:dyDescent="0.25">
      <c r="B19" s="1" t="s">
        <v>11</v>
      </c>
      <c r="C19" s="13" t="s">
        <v>39</v>
      </c>
      <c r="J19">
        <v>150</v>
      </c>
      <c r="K19">
        <v>199</v>
      </c>
      <c r="N19" s="167"/>
      <c r="O19" s="168">
        <v>4090</v>
      </c>
    </row>
    <row r="20" spans="2:15" ht="15" x14ac:dyDescent="0.25">
      <c r="B20" s="1" t="s">
        <v>20</v>
      </c>
      <c r="C20" s="13" t="s">
        <v>1</v>
      </c>
      <c r="J20">
        <v>200</v>
      </c>
      <c r="K20">
        <v>249</v>
      </c>
      <c r="N20" s="167"/>
      <c r="O20" s="168">
        <v>4670</v>
      </c>
    </row>
    <row r="21" spans="2:15" ht="15" x14ac:dyDescent="0.25">
      <c r="B21" s="1"/>
      <c r="C21" s="13"/>
      <c r="J21">
        <v>250</v>
      </c>
      <c r="K21">
        <v>299</v>
      </c>
      <c r="L21" s="86"/>
      <c r="N21" s="167"/>
      <c r="O21" s="168">
        <v>5760</v>
      </c>
    </row>
    <row r="22" spans="2:15" ht="15" x14ac:dyDescent="0.25">
      <c r="B22" s="1"/>
      <c r="C22" s="13"/>
      <c r="J22">
        <v>300</v>
      </c>
      <c r="K22">
        <v>349</v>
      </c>
      <c r="N22" s="167"/>
      <c r="O22" s="168">
        <v>6830</v>
      </c>
    </row>
    <row r="23" spans="2:15" ht="15" x14ac:dyDescent="0.25">
      <c r="B23" s="1"/>
      <c r="J23">
        <v>350</v>
      </c>
      <c r="K23">
        <v>399</v>
      </c>
      <c r="N23" s="167"/>
      <c r="O23" s="168">
        <v>7920</v>
      </c>
    </row>
    <row r="24" spans="2:15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J24">
        <v>400</v>
      </c>
      <c r="K24">
        <v>449</v>
      </c>
      <c r="N24" s="167"/>
      <c r="O24" s="168">
        <v>8980</v>
      </c>
    </row>
    <row r="25" spans="2:15" ht="15" x14ac:dyDescent="0.25">
      <c r="H25" s="17"/>
      <c r="J25">
        <v>450</v>
      </c>
      <c r="K25">
        <v>499</v>
      </c>
      <c r="N25" s="167"/>
      <c r="O25" s="168">
        <v>10080</v>
      </c>
    </row>
    <row r="26" spans="2:15" ht="15" x14ac:dyDescent="0.25">
      <c r="B26" s="49" t="s">
        <v>168</v>
      </c>
      <c r="C26" s="108" t="s">
        <v>318</v>
      </c>
      <c r="D26" t="str">
        <f>Felles!C4</f>
        <v>August</v>
      </c>
      <c r="E26">
        <v>1</v>
      </c>
      <c r="F26" s="17">
        <v>3580</v>
      </c>
      <c r="G26" s="18"/>
      <c r="H26" s="17">
        <f>E26*F26</f>
        <v>3580</v>
      </c>
      <c r="J26">
        <v>500</v>
      </c>
      <c r="K26">
        <v>549</v>
      </c>
      <c r="N26" s="167"/>
      <c r="O26" s="168">
        <v>11150</v>
      </c>
    </row>
    <row r="27" spans="2:15" ht="15" x14ac:dyDescent="0.25">
      <c r="B27" s="49"/>
      <c r="F27" s="17"/>
      <c r="G27" s="18"/>
      <c r="H27" s="17"/>
      <c r="J27">
        <v>550</v>
      </c>
      <c r="K27">
        <v>599</v>
      </c>
      <c r="N27" s="167"/>
      <c r="O27" s="168">
        <v>12200</v>
      </c>
    </row>
    <row r="28" spans="2:15" ht="15" x14ac:dyDescent="0.25">
      <c r="F28" s="17"/>
      <c r="G28" s="18"/>
      <c r="H28" s="17"/>
      <c r="J28">
        <v>600</v>
      </c>
      <c r="K28">
        <v>649</v>
      </c>
      <c r="N28" s="167"/>
      <c r="O28" s="168">
        <v>13260</v>
      </c>
    </row>
    <row r="29" spans="2:15" ht="15" x14ac:dyDescent="0.25">
      <c r="F29" s="17"/>
      <c r="G29" s="18"/>
      <c r="H29" s="17"/>
      <c r="J29">
        <v>650</v>
      </c>
      <c r="K29">
        <v>699</v>
      </c>
      <c r="N29" s="167"/>
      <c r="O29" s="168">
        <v>14360</v>
      </c>
    </row>
    <row r="30" spans="2:15" ht="15" x14ac:dyDescent="0.25">
      <c r="F30" s="17"/>
      <c r="G30" s="18"/>
      <c r="H30" s="17"/>
      <c r="J30">
        <v>700</v>
      </c>
      <c r="K30">
        <v>749</v>
      </c>
      <c r="N30" s="167"/>
      <c r="O30" s="168">
        <v>15430</v>
      </c>
    </row>
    <row r="31" spans="2:15" ht="15" x14ac:dyDescent="0.25">
      <c r="B31" t="s">
        <v>1</v>
      </c>
      <c r="F31" s="17"/>
      <c r="G31" s="18"/>
      <c r="H31" s="17"/>
      <c r="J31">
        <v>750</v>
      </c>
      <c r="K31">
        <v>799</v>
      </c>
      <c r="N31" s="167"/>
      <c r="O31" s="168">
        <v>16530</v>
      </c>
    </row>
    <row r="32" spans="2:15" ht="15" x14ac:dyDescent="0.25">
      <c r="B32" s="8" t="s">
        <v>21</v>
      </c>
      <c r="C32" t="s">
        <v>1</v>
      </c>
      <c r="F32" s="17"/>
      <c r="G32" s="18"/>
      <c r="H32" s="17"/>
      <c r="J32">
        <v>800</v>
      </c>
      <c r="K32">
        <v>849</v>
      </c>
      <c r="N32" s="167"/>
      <c r="O32" s="168">
        <v>17590</v>
      </c>
    </row>
    <row r="33" spans="2:15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J33">
        <v>850</v>
      </c>
      <c r="K33">
        <v>899</v>
      </c>
      <c r="N33" s="167"/>
      <c r="O33" s="168">
        <v>18680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J34">
        <v>900</v>
      </c>
      <c r="K34">
        <v>949</v>
      </c>
      <c r="N34" s="167"/>
      <c r="O34" s="168">
        <v>19750</v>
      </c>
    </row>
    <row r="35" spans="2:15" ht="15" x14ac:dyDescent="0.25">
      <c r="B35" s="11"/>
      <c r="C35" s="11"/>
      <c r="D35" s="11"/>
      <c r="E35" s="11"/>
      <c r="F35" s="22"/>
      <c r="G35" s="22"/>
      <c r="H35" s="17"/>
      <c r="J35">
        <v>950</v>
      </c>
      <c r="K35">
        <v>999</v>
      </c>
      <c r="N35" s="167"/>
      <c r="O35" s="168">
        <v>20820</v>
      </c>
    </row>
    <row r="36" spans="2:15" ht="15" x14ac:dyDescent="0.25">
      <c r="F36" s="17"/>
      <c r="G36" s="17"/>
      <c r="H36" s="17"/>
      <c r="J36">
        <v>1000</v>
      </c>
      <c r="K36">
        <v>1099</v>
      </c>
      <c r="N36" s="167"/>
      <c r="O36" s="168">
        <v>23000</v>
      </c>
    </row>
    <row r="37" spans="2:15" ht="15" x14ac:dyDescent="0.25">
      <c r="F37" s="17"/>
      <c r="G37" s="17"/>
      <c r="H37" s="17"/>
      <c r="J37">
        <v>1100</v>
      </c>
      <c r="K37">
        <v>1199</v>
      </c>
      <c r="N37" s="167"/>
      <c r="O37" s="168">
        <v>24100</v>
      </c>
    </row>
    <row r="38" spans="2:15" ht="15" x14ac:dyDescent="0.25">
      <c r="F38" s="17"/>
      <c r="G38" s="17"/>
      <c r="H38" s="17"/>
      <c r="J38">
        <v>1200</v>
      </c>
      <c r="K38">
        <v>1299</v>
      </c>
      <c r="N38" s="167"/>
      <c r="O38" s="168">
        <v>26260</v>
      </c>
    </row>
    <row r="39" spans="2:15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3580</v>
      </c>
      <c r="J39">
        <v>1300</v>
      </c>
      <c r="K39">
        <v>1399</v>
      </c>
      <c r="N39" s="167"/>
      <c r="O39" s="168">
        <v>28400</v>
      </c>
    </row>
    <row r="40" spans="2:15" ht="15" x14ac:dyDescent="0.25">
      <c r="J40">
        <v>1400</v>
      </c>
      <c r="K40">
        <v>1499</v>
      </c>
      <c r="N40" s="167"/>
      <c r="O40" s="168">
        <v>30240</v>
      </c>
    </row>
    <row r="41" spans="2:15" ht="15" x14ac:dyDescent="0.25">
      <c r="J41">
        <v>1500</v>
      </c>
      <c r="K41">
        <v>1599</v>
      </c>
      <c r="N41" s="167"/>
      <c r="O41" s="168">
        <v>32710</v>
      </c>
    </row>
    <row r="42" spans="2:15" ht="15" x14ac:dyDescent="0.25">
      <c r="J42">
        <v>1600</v>
      </c>
      <c r="K42">
        <v>1699</v>
      </c>
      <c r="N42" s="167"/>
      <c r="O42" s="168">
        <v>34890</v>
      </c>
    </row>
    <row r="43" spans="2:15" ht="15" x14ac:dyDescent="0.25">
      <c r="J43">
        <v>1700</v>
      </c>
      <c r="K43">
        <v>1799</v>
      </c>
      <c r="N43" s="167"/>
      <c r="O43" s="168">
        <v>37060</v>
      </c>
    </row>
    <row r="44" spans="2:15" ht="15" x14ac:dyDescent="0.25">
      <c r="J44">
        <v>1800</v>
      </c>
      <c r="K44">
        <v>1899</v>
      </c>
      <c r="N44" s="167"/>
      <c r="O44" s="168">
        <v>39200</v>
      </c>
    </row>
    <row r="45" spans="2:15" ht="15" x14ac:dyDescent="0.25">
      <c r="J45">
        <v>1900</v>
      </c>
      <c r="K45">
        <v>1999</v>
      </c>
      <c r="N45" s="167"/>
      <c r="O45" s="168">
        <v>41380</v>
      </c>
    </row>
    <row r="46" spans="2:15" ht="15" x14ac:dyDescent="0.25">
      <c r="J46">
        <v>2000</v>
      </c>
      <c r="K46">
        <v>2099</v>
      </c>
      <c r="N46" s="167"/>
      <c r="O46" s="168">
        <v>43500</v>
      </c>
    </row>
    <row r="47" spans="2:15" ht="15" x14ac:dyDescent="0.25">
      <c r="J47">
        <v>2100</v>
      </c>
      <c r="K47">
        <v>2199</v>
      </c>
      <c r="N47" s="167"/>
      <c r="O47" s="168">
        <v>45650</v>
      </c>
    </row>
    <row r="48" spans="2:15" ht="15" x14ac:dyDescent="0.25">
      <c r="J48">
        <v>2200</v>
      </c>
      <c r="K48">
        <v>2299</v>
      </c>
      <c r="N48" s="167"/>
      <c r="O48" s="168">
        <v>47850</v>
      </c>
    </row>
    <row r="49" spans="10:15" ht="15" x14ac:dyDescent="0.25">
      <c r="J49">
        <v>2300</v>
      </c>
      <c r="K49">
        <v>2399</v>
      </c>
      <c r="N49" s="167"/>
      <c r="O49" s="168">
        <v>49980</v>
      </c>
    </row>
    <row r="50" spans="10:15" ht="15" x14ac:dyDescent="0.25">
      <c r="J50">
        <v>2400</v>
      </c>
      <c r="K50">
        <v>2499</v>
      </c>
      <c r="N50" s="167"/>
      <c r="O50" s="168">
        <v>52160</v>
      </c>
    </row>
  </sheetData>
  <phoneticPr fontId="2" type="noConversion"/>
  <pageMargins left="0.75" right="0.75" top="1" bottom="1" header="0.5" footer="0.5"/>
  <pageSetup paperSize="9" scale="82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A9FE-EBD5-4320-97C9-05E5F96C0928}">
  <sheetPr codeName="Ark64">
    <pageSetUpPr fitToPage="1"/>
  </sheetPr>
  <dimension ref="B2:O48"/>
  <sheetViews>
    <sheetView topLeftCell="A3" workbookViewId="0">
      <selection activeCell="E28" sqref="E28"/>
    </sheetView>
  </sheetViews>
  <sheetFormatPr baseColWidth="10" defaultRowHeight="12.75" x14ac:dyDescent="0.2"/>
  <cols>
    <col min="1" max="1" width="6.5703125" customWidth="1"/>
    <col min="2" max="2" width="22.5703125" customWidth="1"/>
    <col min="3" max="3" width="9.28515625" customWidth="1"/>
    <col min="4" max="4" width="6.5703125" customWidth="1"/>
    <col min="7" max="7" width="10.42578125" customWidth="1"/>
  </cols>
  <sheetData>
    <row r="2" spans="2:15" ht="20.25" x14ac:dyDescent="0.3">
      <c r="B2" s="10" t="s">
        <v>22</v>
      </c>
    </row>
    <row r="4" spans="2:15" x14ac:dyDescent="0.2">
      <c r="B4" s="1" t="s">
        <v>0</v>
      </c>
      <c r="C4" s="1" t="s">
        <v>455</v>
      </c>
      <c r="F4" s="1" t="s">
        <v>19</v>
      </c>
      <c r="G4" s="12" t="s">
        <v>1</v>
      </c>
      <c r="H4" s="13"/>
    </row>
    <row r="5" spans="2:15" x14ac:dyDescent="0.2">
      <c r="B5" s="1"/>
      <c r="C5" s="4" t="s">
        <v>62</v>
      </c>
      <c r="F5" s="1"/>
      <c r="G5" s="12"/>
      <c r="H5" s="13"/>
    </row>
    <row r="6" spans="2:15" x14ac:dyDescent="0.2">
      <c r="B6" s="1"/>
      <c r="C6" s="4" t="s">
        <v>63</v>
      </c>
      <c r="F6" s="1"/>
      <c r="G6" s="12"/>
      <c r="H6" s="13"/>
    </row>
    <row r="7" spans="2:15" x14ac:dyDescent="0.2">
      <c r="B7" s="1"/>
      <c r="C7" s="4"/>
      <c r="F7" s="1"/>
      <c r="G7" s="12"/>
      <c r="H7" s="13"/>
    </row>
    <row r="8" spans="2:15" x14ac:dyDescent="0.2">
      <c r="B8" s="1"/>
      <c r="C8" s="4"/>
      <c r="F8" s="1"/>
      <c r="G8" s="12"/>
      <c r="H8" s="13"/>
    </row>
    <row r="9" spans="2:15" x14ac:dyDescent="0.2">
      <c r="B9" s="1" t="s">
        <v>18</v>
      </c>
      <c r="C9" s="4" t="s">
        <v>46</v>
      </c>
      <c r="F9" s="1"/>
      <c r="G9" s="1"/>
      <c r="H9" s="13"/>
    </row>
    <row r="10" spans="2:15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15" x14ac:dyDescent="0.2">
      <c r="B11" s="1"/>
    </row>
    <row r="12" spans="2:15" ht="15" x14ac:dyDescent="0.25">
      <c r="B12" s="8" t="s">
        <v>7</v>
      </c>
      <c r="F12" s="20" t="s">
        <v>195</v>
      </c>
      <c r="K12" s="86"/>
      <c r="L12" s="86"/>
      <c r="N12" s="86"/>
      <c r="O12" s="162">
        <v>2026</v>
      </c>
    </row>
    <row r="13" spans="2:15" ht="15" x14ac:dyDescent="0.25">
      <c r="B13" s="1" t="s">
        <v>8</v>
      </c>
      <c r="C13" s="71" t="s">
        <v>304</v>
      </c>
      <c r="J13" s="163" t="s">
        <v>785</v>
      </c>
      <c r="K13" s="163" t="s">
        <v>786</v>
      </c>
      <c r="L13" s="163"/>
      <c r="M13" s="164"/>
      <c r="N13" s="165"/>
      <c r="O13" s="166" t="s">
        <v>787</v>
      </c>
    </row>
    <row r="14" spans="2:15" ht="15" x14ac:dyDescent="0.25">
      <c r="B14" s="1" t="s">
        <v>9</v>
      </c>
      <c r="C14" s="11" t="s">
        <v>1</v>
      </c>
      <c r="J14" s="163"/>
      <c r="K14" s="163"/>
      <c r="L14" s="163"/>
      <c r="M14" s="164"/>
      <c r="N14" s="165"/>
      <c r="O14" s="166"/>
    </row>
    <row r="15" spans="2:15" ht="15" x14ac:dyDescent="0.25">
      <c r="B15" s="1"/>
      <c r="J15" s="86">
        <v>1</v>
      </c>
      <c r="K15" s="86">
        <v>99</v>
      </c>
      <c r="L15" s="86"/>
      <c r="N15" s="167"/>
      <c r="O15" s="168">
        <v>2960</v>
      </c>
    </row>
    <row r="16" spans="2:15" ht="15" x14ac:dyDescent="0.25">
      <c r="B16" s="1" t="s">
        <v>16</v>
      </c>
      <c r="C16" s="11" t="s">
        <v>29</v>
      </c>
      <c r="J16">
        <v>100</v>
      </c>
      <c r="K16">
        <v>149</v>
      </c>
      <c r="N16" s="167"/>
      <c r="O16" s="168">
        <v>3580</v>
      </c>
    </row>
    <row r="17" spans="2:15" ht="15" x14ac:dyDescent="0.25">
      <c r="B17" s="1"/>
      <c r="J17">
        <v>150</v>
      </c>
      <c r="K17">
        <v>199</v>
      </c>
      <c r="N17" s="167"/>
      <c r="O17" s="168">
        <v>4090</v>
      </c>
    </row>
    <row r="18" spans="2:15" ht="15" x14ac:dyDescent="0.25">
      <c r="B18" s="1"/>
      <c r="C18" s="13"/>
      <c r="F18" s="32" t="s">
        <v>308</v>
      </c>
      <c r="J18">
        <v>200</v>
      </c>
      <c r="K18">
        <v>249</v>
      </c>
      <c r="N18" s="167"/>
      <c r="O18" s="168">
        <v>4670</v>
      </c>
    </row>
    <row r="19" spans="2:15" ht="15" x14ac:dyDescent="0.25">
      <c r="B19" s="1" t="s">
        <v>11</v>
      </c>
      <c r="C19" s="13" t="s">
        <v>39</v>
      </c>
      <c r="I19" t="s">
        <v>1</v>
      </c>
      <c r="J19">
        <v>250</v>
      </c>
      <c r="K19">
        <v>299</v>
      </c>
      <c r="L19" s="86"/>
      <c r="N19" s="167"/>
      <c r="O19" s="168">
        <v>5760</v>
      </c>
    </row>
    <row r="20" spans="2:15" ht="15" x14ac:dyDescent="0.25">
      <c r="B20" s="1" t="s">
        <v>20</v>
      </c>
      <c r="C20" s="13" t="s">
        <v>1</v>
      </c>
      <c r="F20" t="s">
        <v>454</v>
      </c>
      <c r="J20">
        <v>300</v>
      </c>
      <c r="K20">
        <v>349</v>
      </c>
      <c r="N20" s="167"/>
      <c r="O20" s="168">
        <v>6830</v>
      </c>
    </row>
    <row r="21" spans="2:15" ht="15" x14ac:dyDescent="0.25">
      <c r="B21" s="1"/>
      <c r="C21" s="13"/>
      <c r="F21" t="s">
        <v>303</v>
      </c>
      <c r="J21">
        <v>350</v>
      </c>
      <c r="K21">
        <v>399</v>
      </c>
      <c r="N21" s="167"/>
      <c r="O21" s="168">
        <v>7920</v>
      </c>
    </row>
    <row r="22" spans="2:15" ht="15" x14ac:dyDescent="0.25">
      <c r="B22" s="1"/>
      <c r="C22" s="13"/>
      <c r="J22">
        <v>400</v>
      </c>
      <c r="K22">
        <v>449</v>
      </c>
      <c r="N22" s="167"/>
      <c r="O22" s="168">
        <v>8980</v>
      </c>
    </row>
    <row r="23" spans="2:15" ht="15" x14ac:dyDescent="0.25">
      <c r="B23" s="1"/>
      <c r="J23">
        <v>450</v>
      </c>
      <c r="K23">
        <v>499</v>
      </c>
      <c r="N23" s="167"/>
      <c r="O23" s="168">
        <v>10080</v>
      </c>
    </row>
    <row r="24" spans="2:15" ht="15" x14ac:dyDescent="0.25">
      <c r="B24" s="8" t="s">
        <v>15</v>
      </c>
      <c r="C24" s="2"/>
      <c r="D24" s="4" t="s">
        <v>179</v>
      </c>
      <c r="E24" s="21" t="s">
        <v>12</v>
      </c>
      <c r="F24" s="21" t="s">
        <v>13</v>
      </c>
      <c r="G24" s="8"/>
      <c r="H24" s="16" t="s">
        <v>14</v>
      </c>
      <c r="J24">
        <v>500</v>
      </c>
      <c r="K24">
        <v>549</v>
      </c>
      <c r="N24" s="167"/>
      <c r="O24" s="168">
        <v>11150</v>
      </c>
    </row>
    <row r="25" spans="2:15" ht="15" x14ac:dyDescent="0.25">
      <c r="H25" s="17"/>
      <c r="J25">
        <v>550</v>
      </c>
      <c r="K25">
        <v>599</v>
      </c>
      <c r="N25" s="167"/>
      <c r="O25" s="168">
        <v>12200</v>
      </c>
    </row>
    <row r="26" spans="2:15" ht="15" x14ac:dyDescent="0.25">
      <c r="B26" s="4" t="s">
        <v>412</v>
      </c>
      <c r="E26">
        <v>1</v>
      </c>
      <c r="F26" s="17">
        <v>199</v>
      </c>
      <c r="G26" s="18"/>
      <c r="H26" s="17">
        <f>E26*F26</f>
        <v>199</v>
      </c>
      <c r="J26">
        <v>600</v>
      </c>
      <c r="K26">
        <v>649</v>
      </c>
      <c r="N26" s="167"/>
      <c r="O26" s="168">
        <v>13260</v>
      </c>
    </row>
    <row r="27" spans="2:15" ht="15" x14ac:dyDescent="0.25">
      <c r="B27" s="49" t="s">
        <v>168</v>
      </c>
      <c r="D27" t="str">
        <f>Felles!C4</f>
        <v>August</v>
      </c>
      <c r="E27">
        <v>1</v>
      </c>
      <c r="F27" s="17">
        <v>2960</v>
      </c>
      <c r="G27" s="18"/>
      <c r="H27" s="17">
        <f>E27*F27</f>
        <v>2960</v>
      </c>
      <c r="J27">
        <v>650</v>
      </c>
      <c r="K27">
        <v>699</v>
      </c>
      <c r="N27" s="167"/>
      <c r="O27" s="168">
        <v>14360</v>
      </c>
    </row>
    <row r="28" spans="2:15" ht="15" x14ac:dyDescent="0.25">
      <c r="F28" s="17"/>
      <c r="H28" s="17"/>
      <c r="J28">
        <v>700</v>
      </c>
      <c r="K28">
        <v>749</v>
      </c>
      <c r="N28" s="167"/>
      <c r="O28" s="168">
        <v>15430</v>
      </c>
    </row>
    <row r="29" spans="2:15" ht="15" x14ac:dyDescent="0.25">
      <c r="F29" s="17"/>
      <c r="G29" s="18"/>
      <c r="H29" s="17"/>
      <c r="J29">
        <v>750</v>
      </c>
      <c r="K29">
        <v>799</v>
      </c>
      <c r="N29" s="167"/>
      <c r="O29" s="168">
        <v>16530</v>
      </c>
    </row>
    <row r="30" spans="2:15" ht="15" x14ac:dyDescent="0.25">
      <c r="B30" t="s">
        <v>1</v>
      </c>
      <c r="F30" s="17"/>
      <c r="G30" s="18"/>
      <c r="H30" s="17"/>
      <c r="J30">
        <v>800</v>
      </c>
      <c r="K30">
        <v>849</v>
      </c>
      <c r="N30" s="167"/>
      <c r="O30" s="168">
        <v>17590</v>
      </c>
    </row>
    <row r="31" spans="2:15" ht="15" x14ac:dyDescent="0.25">
      <c r="B31" s="8" t="s">
        <v>21</v>
      </c>
      <c r="C31" t="s">
        <v>1</v>
      </c>
      <c r="F31" s="17"/>
      <c r="G31" s="18"/>
      <c r="H31" s="17"/>
      <c r="J31">
        <v>850</v>
      </c>
      <c r="K31">
        <v>899</v>
      </c>
      <c r="N31" s="167"/>
      <c r="O31" s="168">
        <v>18680</v>
      </c>
    </row>
    <row r="32" spans="2:15" ht="15" x14ac:dyDescent="0.25">
      <c r="B32" s="11" t="s">
        <v>1</v>
      </c>
      <c r="C32" s="11"/>
      <c r="D32" s="11"/>
      <c r="E32" s="11" t="s">
        <v>1</v>
      </c>
      <c r="F32" s="22" t="s">
        <v>1</v>
      </c>
      <c r="G32" s="23"/>
      <c r="H32" s="17" t="s">
        <v>1</v>
      </c>
      <c r="J32">
        <v>900</v>
      </c>
      <c r="K32">
        <v>949</v>
      </c>
      <c r="N32" s="167"/>
      <c r="O32" s="168">
        <v>19750</v>
      </c>
    </row>
    <row r="33" spans="2:15" ht="15" x14ac:dyDescent="0.25">
      <c r="B33" s="11"/>
      <c r="C33" s="11"/>
      <c r="D33" s="11"/>
      <c r="E33" s="11"/>
      <c r="F33" s="22"/>
      <c r="G33" s="22"/>
      <c r="H33" s="17"/>
      <c r="J33">
        <v>950</v>
      </c>
      <c r="K33">
        <v>999</v>
      </c>
      <c r="N33" s="167"/>
      <c r="O33" s="168">
        <v>20820</v>
      </c>
    </row>
    <row r="34" spans="2:15" ht="15" x14ac:dyDescent="0.25">
      <c r="B34" s="11"/>
      <c r="C34" s="11"/>
      <c r="D34" s="11"/>
      <c r="E34" s="11"/>
      <c r="F34" s="22"/>
      <c r="G34" s="22"/>
      <c r="H34" s="17"/>
      <c r="J34">
        <v>1000</v>
      </c>
      <c r="K34">
        <v>1099</v>
      </c>
      <c r="N34" s="167"/>
      <c r="O34" s="168">
        <v>23000</v>
      </c>
    </row>
    <row r="35" spans="2:15" ht="15" x14ac:dyDescent="0.25">
      <c r="F35" s="17"/>
      <c r="G35" s="17"/>
      <c r="H35" s="17"/>
      <c r="J35">
        <v>1100</v>
      </c>
      <c r="K35">
        <v>1199</v>
      </c>
      <c r="N35" s="167"/>
      <c r="O35" s="168">
        <v>24100</v>
      </c>
    </row>
    <row r="36" spans="2:15" ht="15" x14ac:dyDescent="0.25">
      <c r="F36" s="17"/>
      <c r="G36" s="17"/>
      <c r="H36" s="17"/>
      <c r="J36">
        <v>1200</v>
      </c>
      <c r="K36">
        <v>1299</v>
      </c>
      <c r="N36" s="167"/>
      <c r="O36" s="168">
        <v>26260</v>
      </c>
    </row>
    <row r="37" spans="2:15" ht="15" x14ac:dyDescent="0.25">
      <c r="F37" s="17"/>
      <c r="G37" s="17"/>
      <c r="H37" s="17"/>
      <c r="J37">
        <v>1300</v>
      </c>
      <c r="K37">
        <v>1399</v>
      </c>
      <c r="N37" s="167"/>
      <c r="O37" s="168">
        <v>28400</v>
      </c>
    </row>
    <row r="38" spans="2:15" ht="15.75" x14ac:dyDescent="0.25">
      <c r="B38" s="3" t="s">
        <v>23</v>
      </c>
      <c r="C38" s="3"/>
      <c r="D38" s="3"/>
      <c r="E38" s="3"/>
      <c r="F38" s="19"/>
      <c r="G38" s="19"/>
      <c r="H38" s="19">
        <f>SUM(H26:H37)</f>
        <v>3159</v>
      </c>
      <c r="J38">
        <v>1400</v>
      </c>
      <c r="K38">
        <v>1499</v>
      </c>
      <c r="N38" s="167"/>
      <c r="O38" s="168">
        <v>30240</v>
      </c>
    </row>
    <row r="39" spans="2:15" ht="15" x14ac:dyDescent="0.25">
      <c r="J39">
        <v>1500</v>
      </c>
      <c r="K39">
        <v>1599</v>
      </c>
      <c r="N39" s="167"/>
      <c r="O39" s="168">
        <v>32710</v>
      </c>
    </row>
    <row r="40" spans="2:15" ht="15" x14ac:dyDescent="0.25">
      <c r="J40">
        <v>1600</v>
      </c>
      <c r="K40">
        <v>1699</v>
      </c>
      <c r="N40" s="167"/>
      <c r="O40" s="168">
        <v>34890</v>
      </c>
    </row>
    <row r="41" spans="2:15" ht="15" x14ac:dyDescent="0.25">
      <c r="J41">
        <v>1700</v>
      </c>
      <c r="K41">
        <v>1799</v>
      </c>
      <c r="N41" s="167"/>
      <c r="O41" s="168">
        <v>37060</v>
      </c>
    </row>
    <row r="42" spans="2:15" ht="15" x14ac:dyDescent="0.25">
      <c r="J42">
        <v>1800</v>
      </c>
      <c r="K42">
        <v>1899</v>
      </c>
      <c r="N42" s="167"/>
      <c r="O42" s="168">
        <v>39200</v>
      </c>
    </row>
    <row r="43" spans="2:15" ht="15" x14ac:dyDescent="0.25">
      <c r="J43">
        <v>1900</v>
      </c>
      <c r="K43">
        <v>1999</v>
      </c>
      <c r="N43" s="167"/>
      <c r="O43" s="168">
        <v>41380</v>
      </c>
    </row>
    <row r="44" spans="2:15" ht="15" x14ac:dyDescent="0.25">
      <c r="J44">
        <v>2000</v>
      </c>
      <c r="K44">
        <v>2099</v>
      </c>
      <c r="N44" s="167"/>
      <c r="O44" s="168">
        <v>43500</v>
      </c>
    </row>
    <row r="45" spans="2:15" ht="15" x14ac:dyDescent="0.25">
      <c r="J45">
        <v>2100</v>
      </c>
      <c r="K45">
        <v>2199</v>
      </c>
      <c r="N45" s="167"/>
      <c r="O45" s="168">
        <v>45650</v>
      </c>
    </row>
    <row r="46" spans="2:15" ht="15" x14ac:dyDescent="0.25">
      <c r="J46">
        <v>2200</v>
      </c>
      <c r="K46">
        <v>2299</v>
      </c>
      <c r="N46" s="167"/>
      <c r="O46" s="168">
        <v>47850</v>
      </c>
    </row>
    <row r="47" spans="2:15" ht="15" x14ac:dyDescent="0.25">
      <c r="J47">
        <v>2300</v>
      </c>
      <c r="K47">
        <v>2399</v>
      </c>
      <c r="N47" s="167"/>
      <c r="O47" s="168">
        <v>49980</v>
      </c>
    </row>
    <row r="48" spans="2:15" ht="15" x14ac:dyDescent="0.25">
      <c r="J48">
        <v>2400</v>
      </c>
      <c r="K48">
        <v>2499</v>
      </c>
      <c r="N48" s="167"/>
      <c r="O48" s="168">
        <v>52160</v>
      </c>
    </row>
  </sheetData>
  <phoneticPr fontId="2" type="noConversion"/>
  <hyperlinks>
    <hyperlink ref="F18" r:id="rId1" display="mailto:invoiceactavisno@teva.se" xr:uid="{737C8A2E-2532-4C4C-869B-BBF7D87B57D2}"/>
  </hyperlinks>
  <pageMargins left="0.75" right="0.75" top="1" bottom="1" header="0.5" footer="0.5"/>
  <pageSetup paperSize="9" scale="87" orientation="portrait" r:id="rId2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494D-4045-4B46-B155-F43CF6EA17D4}">
  <sheetPr codeName="Ark66"/>
  <dimension ref="A2:G41"/>
  <sheetViews>
    <sheetView workbookViewId="0">
      <selection activeCell="E46" sqref="E46"/>
    </sheetView>
  </sheetViews>
  <sheetFormatPr baseColWidth="10" defaultRowHeight="12.75" x14ac:dyDescent="0.2"/>
  <sheetData>
    <row r="2" spans="1:7" ht="20.25" x14ac:dyDescent="0.3">
      <c r="A2" s="10" t="s">
        <v>22</v>
      </c>
    </row>
    <row r="4" spans="1:7" x14ac:dyDescent="0.2">
      <c r="A4" s="1" t="s">
        <v>0</v>
      </c>
      <c r="B4" s="1" t="s">
        <v>130</v>
      </c>
      <c r="E4" s="1" t="s">
        <v>19</v>
      </c>
      <c r="F4" s="12" t="s">
        <v>30</v>
      </c>
      <c r="G4" s="13"/>
    </row>
    <row r="5" spans="1:7" x14ac:dyDescent="0.2">
      <c r="A5" s="1" t="s">
        <v>18</v>
      </c>
      <c r="B5" s="4">
        <v>32386</v>
      </c>
      <c r="E5" s="1"/>
      <c r="F5" s="1"/>
      <c r="G5" s="13"/>
    </row>
    <row r="6" spans="1:7" x14ac:dyDescent="0.2">
      <c r="A6" s="1"/>
      <c r="B6" s="14" t="s">
        <v>1</v>
      </c>
      <c r="E6" s="1" t="s">
        <v>10</v>
      </c>
      <c r="F6" s="15">
        <f>Felles!C2</f>
        <v>46265</v>
      </c>
      <c r="G6" s="13"/>
    </row>
    <row r="7" spans="1:7" x14ac:dyDescent="0.2">
      <c r="A7" s="1"/>
    </row>
    <row r="8" spans="1:7" x14ac:dyDescent="0.2">
      <c r="A8" s="8" t="s">
        <v>7</v>
      </c>
    </row>
    <row r="9" spans="1:7" x14ac:dyDescent="0.2">
      <c r="A9" s="1" t="s">
        <v>8</v>
      </c>
      <c r="B9" s="38" t="s">
        <v>134</v>
      </c>
      <c r="E9" s="4" t="s">
        <v>131</v>
      </c>
    </row>
    <row r="10" spans="1:7" x14ac:dyDescent="0.2">
      <c r="A10" s="1" t="s">
        <v>9</v>
      </c>
      <c r="B10" s="11" t="s">
        <v>1</v>
      </c>
    </row>
    <row r="11" spans="1:7" x14ac:dyDescent="0.2">
      <c r="A11" s="1"/>
      <c r="E11" s="49" t="s">
        <v>132</v>
      </c>
    </row>
    <row r="12" spans="1:7" x14ac:dyDescent="0.2">
      <c r="A12" s="1" t="s">
        <v>16</v>
      </c>
      <c r="B12" s="11" t="s">
        <v>29</v>
      </c>
      <c r="D12">
        <v>2016</v>
      </c>
      <c r="E12" s="4" t="s">
        <v>190</v>
      </c>
    </row>
    <row r="13" spans="1:7" x14ac:dyDescent="0.2">
      <c r="A13" s="1"/>
      <c r="D13">
        <v>2017</v>
      </c>
      <c r="E13" s="4" t="s">
        <v>212</v>
      </c>
    </row>
    <row r="14" spans="1:7" x14ac:dyDescent="0.2">
      <c r="A14" s="1"/>
      <c r="B14" s="13"/>
      <c r="E14" t="s">
        <v>126</v>
      </c>
    </row>
    <row r="15" spans="1:7" x14ac:dyDescent="0.2">
      <c r="A15" s="1" t="s">
        <v>11</v>
      </c>
      <c r="B15" s="13" t="s">
        <v>39</v>
      </c>
      <c r="D15">
        <v>2018</v>
      </c>
      <c r="E15" s="4" t="s">
        <v>245</v>
      </c>
    </row>
    <row r="16" spans="1:7" x14ac:dyDescent="0.2">
      <c r="A16" s="1" t="s">
        <v>20</v>
      </c>
      <c r="B16" s="13" t="s">
        <v>1</v>
      </c>
      <c r="D16">
        <v>2019</v>
      </c>
      <c r="E16" s="4" t="s">
        <v>306</v>
      </c>
    </row>
    <row r="17" spans="1:7" x14ac:dyDescent="0.2">
      <c r="A17" s="1"/>
      <c r="B17" s="13"/>
      <c r="D17">
        <v>2020</v>
      </c>
      <c r="E17" s="4" t="s">
        <v>346</v>
      </c>
    </row>
    <row r="18" spans="1:7" x14ac:dyDescent="0.2">
      <c r="A18" s="1"/>
      <c r="B18" s="13"/>
      <c r="D18">
        <v>2021</v>
      </c>
      <c r="E18" s="4" t="s">
        <v>386</v>
      </c>
    </row>
    <row r="19" spans="1:7" x14ac:dyDescent="0.2">
      <c r="A19" s="1"/>
      <c r="B19" s="13"/>
      <c r="D19">
        <v>2022</v>
      </c>
      <c r="E19" s="4" t="s">
        <v>387</v>
      </c>
    </row>
    <row r="20" spans="1:7" x14ac:dyDescent="0.2">
      <c r="A20" s="1"/>
      <c r="B20" s="13"/>
      <c r="D20">
        <v>2023</v>
      </c>
      <c r="E20" s="4" t="s">
        <v>403</v>
      </c>
    </row>
    <row r="21" spans="1:7" x14ac:dyDescent="0.2">
      <c r="A21" s="1"/>
      <c r="B21" s="13"/>
      <c r="D21">
        <v>2024</v>
      </c>
      <c r="E21" s="4" t="s">
        <v>417</v>
      </c>
    </row>
    <row r="22" spans="1:7" x14ac:dyDescent="0.2">
      <c r="A22" s="1"/>
      <c r="B22" s="13"/>
      <c r="D22">
        <v>2025</v>
      </c>
      <c r="E22" s="4" t="s">
        <v>508</v>
      </c>
      <c r="F22" t="s">
        <v>1</v>
      </c>
    </row>
    <row r="23" spans="1:7" x14ac:dyDescent="0.2">
      <c r="A23" s="1"/>
      <c r="B23" s="13"/>
      <c r="D23">
        <v>2026</v>
      </c>
      <c r="E23" s="108" t="s">
        <v>828</v>
      </c>
    </row>
    <row r="24" spans="1:7" x14ac:dyDescent="0.2">
      <c r="A24" s="1"/>
      <c r="B24" s="13"/>
      <c r="E24" s="4"/>
    </row>
    <row r="25" spans="1:7" x14ac:dyDescent="0.2">
      <c r="A25" s="1"/>
    </row>
    <row r="26" spans="1:7" x14ac:dyDescent="0.2">
      <c r="A26" s="8" t="s">
        <v>15</v>
      </c>
      <c r="B26" s="2"/>
      <c r="D26" s="21" t="s">
        <v>12</v>
      </c>
      <c r="E26" s="21" t="s">
        <v>13</v>
      </c>
      <c r="F26" s="8"/>
      <c r="G26" s="16" t="s">
        <v>14</v>
      </c>
    </row>
    <row r="27" spans="1:7" x14ac:dyDescent="0.2">
      <c r="G27" s="17"/>
    </row>
    <row r="28" spans="1:7" x14ac:dyDescent="0.2">
      <c r="A28" s="49" t="s">
        <v>54</v>
      </c>
      <c r="C28" t="str">
        <f>Felles!C4</f>
        <v>August</v>
      </c>
      <c r="D28">
        <v>1</v>
      </c>
      <c r="E28" s="17">
        <v>880</v>
      </c>
      <c r="F28" s="18"/>
      <c r="G28" s="17">
        <f>D28*E28</f>
        <v>880</v>
      </c>
    </row>
    <row r="29" spans="1:7" x14ac:dyDescent="0.2">
      <c r="A29" s="49" t="s">
        <v>133</v>
      </c>
      <c r="D29">
        <v>3</v>
      </c>
      <c r="E29" s="17">
        <v>45</v>
      </c>
      <c r="F29" s="18"/>
      <c r="G29" s="17">
        <f>D29*E29</f>
        <v>135</v>
      </c>
    </row>
    <row r="30" spans="1:7" x14ac:dyDescent="0.2">
      <c r="E30" s="17"/>
      <c r="F30" s="18"/>
      <c r="G30" s="17"/>
    </row>
    <row r="31" spans="1:7" x14ac:dyDescent="0.2">
      <c r="E31" s="17"/>
      <c r="F31" s="18"/>
      <c r="G31" s="17"/>
    </row>
    <row r="32" spans="1:7" x14ac:dyDescent="0.2">
      <c r="E32" s="17"/>
      <c r="F32" s="18"/>
      <c r="G32" s="17"/>
    </row>
    <row r="33" spans="1:7" x14ac:dyDescent="0.2">
      <c r="A33" t="s">
        <v>1</v>
      </c>
      <c r="E33" s="17"/>
      <c r="F33" s="18"/>
      <c r="G33" s="17"/>
    </row>
    <row r="34" spans="1:7" x14ac:dyDescent="0.2">
      <c r="A34" s="8" t="s">
        <v>21</v>
      </c>
      <c r="B34" t="s">
        <v>1</v>
      </c>
      <c r="E34" s="17"/>
      <c r="F34" s="18"/>
      <c r="G34" s="17"/>
    </row>
    <row r="35" spans="1:7" x14ac:dyDescent="0.2">
      <c r="A35" s="11" t="s">
        <v>1</v>
      </c>
      <c r="B35" s="11"/>
      <c r="C35" s="11"/>
      <c r="D35" s="11" t="s">
        <v>1</v>
      </c>
      <c r="E35" s="22" t="s">
        <v>1</v>
      </c>
      <c r="F35" s="23"/>
      <c r="G35" s="17" t="s">
        <v>1</v>
      </c>
    </row>
    <row r="36" spans="1:7" x14ac:dyDescent="0.2">
      <c r="A36" s="11"/>
      <c r="B36" s="11"/>
      <c r="C36" s="11"/>
      <c r="D36" s="11"/>
      <c r="E36" s="22"/>
      <c r="F36" s="22"/>
      <c r="G36" s="17"/>
    </row>
    <row r="37" spans="1:7" x14ac:dyDescent="0.2">
      <c r="A37" s="11"/>
      <c r="B37" s="11"/>
      <c r="C37" s="11"/>
      <c r="D37" s="11"/>
      <c r="E37" s="22"/>
      <c r="F37" s="22"/>
      <c r="G37" s="17"/>
    </row>
    <row r="38" spans="1:7" x14ac:dyDescent="0.2">
      <c r="E38" s="17"/>
      <c r="F38" s="17"/>
      <c r="G38" s="17"/>
    </row>
    <row r="39" spans="1:7" x14ac:dyDescent="0.2">
      <c r="E39" s="17"/>
      <c r="F39" s="17"/>
      <c r="G39" s="17"/>
    </row>
    <row r="40" spans="1:7" x14ac:dyDescent="0.2">
      <c r="E40" s="17"/>
      <c r="F40" s="17"/>
      <c r="G40" s="17"/>
    </row>
    <row r="41" spans="1:7" ht="15.75" x14ac:dyDescent="0.25">
      <c r="A41" s="3" t="s">
        <v>23</v>
      </c>
      <c r="B41" s="3"/>
      <c r="C41" s="3"/>
      <c r="D41" s="3"/>
      <c r="E41" s="19"/>
      <c r="F41" s="19"/>
      <c r="G41" s="19">
        <f>SUM(G28:G40)</f>
        <v>1015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584B-9107-4DFD-97DD-1303687CB3CD}">
  <sheetPr codeName="Ark68">
    <pageSetUpPr fitToPage="1"/>
  </sheetPr>
  <dimension ref="A2:N44"/>
  <sheetViews>
    <sheetView workbookViewId="0">
      <selection activeCell="F27" sqref="F27"/>
    </sheetView>
  </sheetViews>
  <sheetFormatPr baseColWidth="10" defaultRowHeight="12.75" x14ac:dyDescent="0.2"/>
  <cols>
    <col min="1" max="1" width="23.7109375" customWidth="1"/>
  </cols>
  <sheetData>
    <row r="2" spans="1:14" ht="20.25" x14ac:dyDescent="0.3">
      <c r="A2" s="10" t="s">
        <v>22</v>
      </c>
    </row>
    <row r="4" spans="1:14" x14ac:dyDescent="0.2">
      <c r="A4" s="1" t="s">
        <v>0</v>
      </c>
      <c r="B4" s="38" t="s">
        <v>251</v>
      </c>
      <c r="E4" s="1" t="s">
        <v>19</v>
      </c>
      <c r="F4" s="12" t="s">
        <v>1</v>
      </c>
      <c r="G4" s="13"/>
    </row>
    <row r="5" spans="1:14" x14ac:dyDescent="0.2">
      <c r="A5" s="1" t="s">
        <v>18</v>
      </c>
      <c r="B5" s="4">
        <v>32730</v>
      </c>
      <c r="E5" s="1"/>
      <c r="F5" s="1"/>
      <c r="G5" s="13"/>
    </row>
    <row r="6" spans="1:14" x14ac:dyDescent="0.2">
      <c r="A6" s="1"/>
      <c r="B6" s="14" t="s">
        <v>1</v>
      </c>
      <c r="E6" s="1" t="s">
        <v>10</v>
      </c>
      <c r="F6" s="15">
        <f>Felles!C2</f>
        <v>46265</v>
      </c>
      <c r="G6" s="13"/>
    </row>
    <row r="7" spans="1:14" x14ac:dyDescent="0.2">
      <c r="A7" s="1"/>
    </row>
    <row r="8" spans="1:14" ht="15" x14ac:dyDescent="0.25">
      <c r="A8" s="8" t="s">
        <v>7</v>
      </c>
      <c r="K8" s="86"/>
      <c r="M8" s="86"/>
      <c r="N8" s="162">
        <v>2026</v>
      </c>
    </row>
    <row r="9" spans="1:14" ht="15" x14ac:dyDescent="0.25">
      <c r="A9" s="1" t="s">
        <v>8</v>
      </c>
      <c r="B9" s="59" t="s">
        <v>254</v>
      </c>
      <c r="E9" s="4" t="s">
        <v>252</v>
      </c>
      <c r="F9" s="4"/>
      <c r="I9" s="163"/>
      <c r="K9" s="163"/>
      <c r="L9" s="163" t="s">
        <v>785</v>
      </c>
      <c r="M9" s="163" t="s">
        <v>786</v>
      </c>
      <c r="N9" s="166" t="s">
        <v>787</v>
      </c>
    </row>
    <row r="10" spans="1:14" ht="15" x14ac:dyDescent="0.25">
      <c r="A10" s="1" t="s">
        <v>9</v>
      </c>
      <c r="B10" s="11" t="s">
        <v>1</v>
      </c>
      <c r="E10" s="4" t="s">
        <v>1</v>
      </c>
      <c r="F10" s="4" t="s">
        <v>1</v>
      </c>
      <c r="I10" s="163"/>
      <c r="K10" s="163"/>
      <c r="L10" s="163"/>
      <c r="M10" s="163"/>
      <c r="N10" s="166"/>
    </row>
    <row r="11" spans="1:14" ht="15" x14ac:dyDescent="0.25">
      <c r="A11" s="1"/>
      <c r="E11" s="34" t="s">
        <v>1</v>
      </c>
      <c r="F11" s="49" t="s">
        <v>253</v>
      </c>
      <c r="G11" s="41"/>
      <c r="I11" s="86"/>
      <c r="K11" s="86"/>
      <c r="L11" s="86">
        <v>1</v>
      </c>
      <c r="M11" s="86">
        <v>99</v>
      </c>
      <c r="N11" s="168">
        <v>2960</v>
      </c>
    </row>
    <row r="12" spans="1:14" ht="15" x14ac:dyDescent="0.25">
      <c r="A12" s="1" t="s">
        <v>16</v>
      </c>
      <c r="B12" s="38" t="s">
        <v>29</v>
      </c>
      <c r="F12" s="4"/>
      <c r="L12">
        <v>100</v>
      </c>
      <c r="M12">
        <v>149</v>
      </c>
      <c r="N12" s="168">
        <v>3580</v>
      </c>
    </row>
    <row r="13" spans="1:14" ht="15" x14ac:dyDescent="0.25">
      <c r="A13" s="1"/>
      <c r="F13" s="4" t="s">
        <v>88</v>
      </c>
      <c r="G13" s="4" t="s">
        <v>195</v>
      </c>
      <c r="L13">
        <v>150</v>
      </c>
      <c r="M13">
        <v>199</v>
      </c>
      <c r="N13" s="168">
        <v>4090</v>
      </c>
    </row>
    <row r="14" spans="1:14" ht="15" x14ac:dyDescent="0.25">
      <c r="A14" s="1"/>
      <c r="B14" s="13"/>
      <c r="L14">
        <v>200</v>
      </c>
      <c r="M14">
        <v>249</v>
      </c>
      <c r="N14" s="168">
        <v>4670</v>
      </c>
    </row>
    <row r="15" spans="1:14" ht="15" x14ac:dyDescent="0.25">
      <c r="A15" s="1" t="s">
        <v>11</v>
      </c>
      <c r="B15" s="13" t="s">
        <v>17</v>
      </c>
      <c r="E15" s="1" t="s">
        <v>185</v>
      </c>
      <c r="K15" s="86"/>
      <c r="L15">
        <v>250</v>
      </c>
      <c r="M15">
        <v>299</v>
      </c>
      <c r="N15" s="168">
        <v>5760</v>
      </c>
    </row>
    <row r="16" spans="1:14" ht="15" x14ac:dyDescent="0.25">
      <c r="A16" s="1" t="s">
        <v>20</v>
      </c>
      <c r="B16" s="20" t="s">
        <v>24</v>
      </c>
      <c r="L16">
        <v>300</v>
      </c>
      <c r="M16">
        <v>349</v>
      </c>
      <c r="N16" s="168">
        <v>6830</v>
      </c>
    </row>
    <row r="17" spans="1:14" ht="15" x14ac:dyDescent="0.25">
      <c r="A17" s="1"/>
      <c r="B17" s="13"/>
      <c r="L17">
        <v>350</v>
      </c>
      <c r="M17">
        <v>399</v>
      </c>
      <c r="N17" s="168">
        <v>7920</v>
      </c>
    </row>
    <row r="18" spans="1:14" ht="15" x14ac:dyDescent="0.25">
      <c r="A18" s="1"/>
      <c r="B18" s="13"/>
      <c r="L18">
        <v>400</v>
      </c>
      <c r="M18">
        <v>449</v>
      </c>
      <c r="N18" s="168">
        <v>8980</v>
      </c>
    </row>
    <row r="19" spans="1:14" ht="15" x14ac:dyDescent="0.25">
      <c r="A19" s="1"/>
      <c r="L19">
        <v>450</v>
      </c>
      <c r="M19">
        <v>499</v>
      </c>
      <c r="N19" s="168">
        <v>10080</v>
      </c>
    </row>
    <row r="20" spans="1:14" ht="15" x14ac:dyDescent="0.25">
      <c r="A20" s="8" t="s">
        <v>15</v>
      </c>
      <c r="B20" s="2"/>
      <c r="D20" s="21" t="s">
        <v>12</v>
      </c>
      <c r="E20" s="21" t="s">
        <v>13</v>
      </c>
      <c r="F20" s="8"/>
      <c r="G20" s="16" t="s">
        <v>14</v>
      </c>
      <c r="L20">
        <v>500</v>
      </c>
      <c r="M20">
        <v>549</v>
      </c>
      <c r="N20" s="168">
        <v>11150</v>
      </c>
    </row>
    <row r="21" spans="1:14" ht="15" x14ac:dyDescent="0.25">
      <c r="G21" s="17"/>
      <c r="L21">
        <v>550</v>
      </c>
      <c r="M21">
        <v>599</v>
      </c>
      <c r="N21" s="168">
        <v>12200</v>
      </c>
    </row>
    <row r="22" spans="1:14" ht="15" x14ac:dyDescent="0.25">
      <c r="A22" s="49" t="s">
        <v>54</v>
      </c>
      <c r="C22" t="str">
        <f>Felles!C4</f>
        <v>August</v>
      </c>
      <c r="D22">
        <v>1</v>
      </c>
      <c r="E22" s="17">
        <v>3580</v>
      </c>
      <c r="F22" s="18"/>
      <c r="G22" s="17">
        <f>E22</f>
        <v>3580</v>
      </c>
      <c r="L22">
        <v>600</v>
      </c>
      <c r="M22">
        <v>649</v>
      </c>
      <c r="N22" s="168">
        <v>13260</v>
      </c>
    </row>
    <row r="23" spans="1:14" ht="15" x14ac:dyDescent="0.25">
      <c r="F23" s="18"/>
      <c r="G23" s="17"/>
      <c r="L23">
        <v>650</v>
      </c>
      <c r="M23">
        <v>699</v>
      </c>
      <c r="N23" s="168">
        <v>14360</v>
      </c>
    </row>
    <row r="24" spans="1:14" ht="15" x14ac:dyDescent="0.25">
      <c r="A24" t="s">
        <v>1</v>
      </c>
      <c r="D24" t="s">
        <v>1</v>
      </c>
      <c r="E24" s="17"/>
      <c r="F24" s="18"/>
      <c r="G24" s="17"/>
      <c r="L24">
        <v>700</v>
      </c>
      <c r="M24">
        <v>749</v>
      </c>
      <c r="N24" s="168">
        <v>15430</v>
      </c>
    </row>
    <row r="25" spans="1:14" ht="15" x14ac:dyDescent="0.25">
      <c r="E25" s="17"/>
      <c r="F25" s="18"/>
      <c r="G25" s="17"/>
      <c r="L25">
        <v>750</v>
      </c>
      <c r="M25">
        <v>799</v>
      </c>
      <c r="N25" s="168">
        <v>16530</v>
      </c>
    </row>
    <row r="26" spans="1:14" ht="15" x14ac:dyDescent="0.25">
      <c r="A26" t="s">
        <v>1</v>
      </c>
      <c r="E26" s="17"/>
      <c r="F26" s="18"/>
      <c r="G26" s="17"/>
      <c r="L26">
        <v>800</v>
      </c>
      <c r="M26">
        <v>849</v>
      </c>
      <c r="N26" s="168">
        <v>17590</v>
      </c>
    </row>
    <row r="27" spans="1:14" ht="15" x14ac:dyDescent="0.25">
      <c r="A27" s="26"/>
      <c r="B27" s="26"/>
      <c r="C27" s="26"/>
      <c r="D27" s="26"/>
      <c r="E27" s="27"/>
      <c r="F27" s="27"/>
      <c r="G27" s="17"/>
      <c r="L27">
        <v>850</v>
      </c>
      <c r="M27">
        <v>899</v>
      </c>
      <c r="N27" s="168">
        <v>18680</v>
      </c>
    </row>
    <row r="28" spans="1:14" ht="15" x14ac:dyDescent="0.25">
      <c r="E28" s="17"/>
      <c r="F28" s="17"/>
      <c r="G28" s="17"/>
      <c r="L28">
        <v>900</v>
      </c>
      <c r="M28">
        <v>949</v>
      </c>
      <c r="N28" s="168">
        <v>19750</v>
      </c>
    </row>
    <row r="29" spans="1:14" ht="15" x14ac:dyDescent="0.25">
      <c r="E29" s="17"/>
      <c r="F29" s="17"/>
      <c r="G29" s="17"/>
      <c r="L29">
        <v>950</v>
      </c>
      <c r="M29">
        <v>999</v>
      </c>
      <c r="N29" s="168">
        <v>20820</v>
      </c>
    </row>
    <row r="30" spans="1:14" ht="15" x14ac:dyDescent="0.25">
      <c r="E30" s="17"/>
      <c r="F30" s="17"/>
      <c r="G30" s="17"/>
      <c r="L30">
        <v>1000</v>
      </c>
      <c r="M30">
        <v>1099</v>
      </c>
      <c r="N30" s="168">
        <v>23000</v>
      </c>
    </row>
    <row r="31" spans="1:14" ht="15.75" x14ac:dyDescent="0.25">
      <c r="A31" s="3" t="s">
        <v>23</v>
      </c>
      <c r="B31" s="3"/>
      <c r="C31" s="3"/>
      <c r="D31" s="3"/>
      <c r="E31" s="19"/>
      <c r="F31" s="19"/>
      <c r="G31" s="19">
        <f>SUM(G22:G30)</f>
        <v>3580</v>
      </c>
      <c r="L31">
        <v>1100</v>
      </c>
      <c r="M31">
        <v>1199</v>
      </c>
      <c r="N31" s="168">
        <v>24100</v>
      </c>
    </row>
    <row r="32" spans="1:14" ht="15" x14ac:dyDescent="0.25">
      <c r="L32">
        <v>1200</v>
      </c>
      <c r="M32">
        <v>1299</v>
      </c>
      <c r="N32" s="168">
        <v>26260</v>
      </c>
    </row>
    <row r="33" spans="12:14" ht="15" x14ac:dyDescent="0.25">
      <c r="L33">
        <v>1300</v>
      </c>
      <c r="M33">
        <v>1399</v>
      </c>
      <c r="N33" s="168">
        <v>28400</v>
      </c>
    </row>
    <row r="34" spans="12:14" ht="15" x14ac:dyDescent="0.25">
      <c r="L34">
        <v>1400</v>
      </c>
      <c r="M34">
        <v>1499</v>
      </c>
      <c r="N34" s="168">
        <v>30240</v>
      </c>
    </row>
    <row r="35" spans="12:14" ht="15" x14ac:dyDescent="0.25">
      <c r="L35">
        <v>1500</v>
      </c>
      <c r="M35">
        <v>1599</v>
      </c>
      <c r="N35" s="168">
        <v>32710</v>
      </c>
    </row>
    <row r="36" spans="12:14" ht="15" x14ac:dyDescent="0.25">
      <c r="L36">
        <v>1600</v>
      </c>
      <c r="M36">
        <v>1699</v>
      </c>
      <c r="N36" s="168">
        <v>34890</v>
      </c>
    </row>
    <row r="37" spans="12:14" ht="15" x14ac:dyDescent="0.25">
      <c r="L37">
        <v>1700</v>
      </c>
      <c r="M37">
        <v>1799</v>
      </c>
      <c r="N37" s="168">
        <v>37060</v>
      </c>
    </row>
    <row r="38" spans="12:14" ht="15" x14ac:dyDescent="0.25">
      <c r="L38">
        <v>1800</v>
      </c>
      <c r="M38">
        <v>1899</v>
      </c>
      <c r="N38" s="168">
        <v>39200</v>
      </c>
    </row>
    <row r="39" spans="12:14" ht="15" x14ac:dyDescent="0.25">
      <c r="L39">
        <v>1900</v>
      </c>
      <c r="M39">
        <v>1999</v>
      </c>
      <c r="N39" s="168">
        <v>41380</v>
      </c>
    </row>
    <row r="40" spans="12:14" ht="15" x14ac:dyDescent="0.25">
      <c r="L40">
        <v>2000</v>
      </c>
      <c r="M40">
        <v>2099</v>
      </c>
      <c r="N40" s="168">
        <v>43500</v>
      </c>
    </row>
    <row r="41" spans="12:14" ht="15" x14ac:dyDescent="0.25">
      <c r="L41">
        <v>2100</v>
      </c>
      <c r="M41">
        <v>2199</v>
      </c>
      <c r="N41" s="168">
        <v>45650</v>
      </c>
    </row>
    <row r="42" spans="12:14" ht="15" x14ac:dyDescent="0.25">
      <c r="L42">
        <v>2200</v>
      </c>
      <c r="M42">
        <v>2299</v>
      </c>
      <c r="N42" s="168">
        <v>47850</v>
      </c>
    </row>
    <row r="43" spans="12:14" ht="15" x14ac:dyDescent="0.25">
      <c r="L43">
        <v>2300</v>
      </c>
      <c r="M43">
        <v>2399</v>
      </c>
      <c r="N43" s="168">
        <v>49980</v>
      </c>
    </row>
    <row r="44" spans="12:14" ht="15" x14ac:dyDescent="0.25">
      <c r="L44">
        <v>2400</v>
      </c>
      <c r="M44">
        <v>2499</v>
      </c>
      <c r="N44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96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698F-9C47-4DD0-A275-6A8F35AE08C7}">
  <sheetPr codeName="Ark69">
    <pageSetUpPr fitToPage="1"/>
  </sheetPr>
  <dimension ref="B2:R47"/>
  <sheetViews>
    <sheetView workbookViewId="0">
      <selection activeCell="H25" sqref="H25"/>
    </sheetView>
  </sheetViews>
  <sheetFormatPr baseColWidth="10" defaultRowHeight="12.75" x14ac:dyDescent="0.2"/>
  <sheetData>
    <row r="2" spans="2:18" ht="20.25" x14ac:dyDescent="0.3">
      <c r="B2" s="10" t="s">
        <v>22</v>
      </c>
    </row>
    <row r="4" spans="2:18" x14ac:dyDescent="0.2">
      <c r="B4" s="1" t="s">
        <v>0</v>
      </c>
      <c r="C4" s="4" t="s">
        <v>293</v>
      </c>
      <c r="F4" s="1" t="s">
        <v>19</v>
      </c>
      <c r="G4" s="12" t="s">
        <v>30</v>
      </c>
      <c r="H4" s="13"/>
    </row>
    <row r="5" spans="2:18" x14ac:dyDescent="0.2">
      <c r="B5" s="1" t="s">
        <v>18</v>
      </c>
      <c r="C5" s="4">
        <v>32722</v>
      </c>
      <c r="F5" s="1"/>
      <c r="G5" s="1"/>
      <c r="H5" s="13"/>
    </row>
    <row r="6" spans="2:1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18" x14ac:dyDescent="0.2">
      <c r="B7" s="1"/>
    </row>
    <row r="8" spans="2:18" x14ac:dyDescent="0.2">
      <c r="B8" s="8" t="s">
        <v>7</v>
      </c>
    </row>
    <row r="9" spans="2:18" x14ac:dyDescent="0.2">
      <c r="B9" s="1" t="s">
        <v>8</v>
      </c>
      <c r="C9" s="38" t="s">
        <v>298</v>
      </c>
      <c r="F9" s="44"/>
    </row>
    <row r="10" spans="2:18" x14ac:dyDescent="0.2">
      <c r="B10" s="1" t="s">
        <v>9</v>
      </c>
      <c r="C10" s="12" t="s">
        <v>296</v>
      </c>
      <c r="F10" s="32"/>
    </row>
    <row r="11" spans="2:18" ht="15" x14ac:dyDescent="0.25">
      <c r="B11" s="1"/>
      <c r="F11" s="4" t="s">
        <v>185</v>
      </c>
      <c r="K11" s="86"/>
      <c r="L11" s="86"/>
      <c r="N11" s="86"/>
      <c r="O11" s="162">
        <v>2026</v>
      </c>
    </row>
    <row r="12" spans="2:18" ht="15" x14ac:dyDescent="0.25">
      <c r="B12" s="1" t="s">
        <v>16</v>
      </c>
      <c r="C12" s="11" t="s">
        <v>29</v>
      </c>
      <c r="F12" s="4" t="s">
        <v>1</v>
      </c>
      <c r="J12" s="163" t="s">
        <v>785</v>
      </c>
      <c r="K12" s="163" t="s">
        <v>786</v>
      </c>
      <c r="L12" s="163"/>
      <c r="M12" s="164"/>
      <c r="N12" s="165"/>
      <c r="O12" s="166" t="s">
        <v>787</v>
      </c>
    </row>
    <row r="13" spans="2:18" ht="15" x14ac:dyDescent="0.25">
      <c r="B13" s="1"/>
      <c r="F13" s="49" t="s">
        <v>295</v>
      </c>
      <c r="J13" s="163"/>
      <c r="K13" s="163"/>
      <c r="L13" s="163"/>
      <c r="M13" s="164"/>
      <c r="N13" s="165"/>
      <c r="O13" s="166"/>
    </row>
    <row r="14" spans="2:18" ht="15" x14ac:dyDescent="0.25">
      <c r="B14" s="1"/>
      <c r="C14" s="13"/>
      <c r="J14" s="86">
        <v>1</v>
      </c>
      <c r="K14" s="86">
        <v>99</v>
      </c>
      <c r="L14" s="86"/>
      <c r="N14" s="167"/>
      <c r="O14" s="168">
        <v>2960</v>
      </c>
      <c r="P14" s="113" t="s">
        <v>860</v>
      </c>
      <c r="Q14" s="113"/>
      <c r="R14" s="113"/>
    </row>
    <row r="15" spans="2:18" ht="15" x14ac:dyDescent="0.25">
      <c r="B15" s="1" t="s">
        <v>11</v>
      </c>
      <c r="C15" s="13" t="s">
        <v>39</v>
      </c>
      <c r="F15" s="49" t="s">
        <v>294</v>
      </c>
      <c r="J15">
        <v>100</v>
      </c>
      <c r="K15">
        <v>149</v>
      </c>
      <c r="N15" s="167"/>
      <c r="O15" s="168">
        <v>3580</v>
      </c>
    </row>
    <row r="16" spans="2:18" ht="26.25" x14ac:dyDescent="0.4">
      <c r="B16" s="1" t="s">
        <v>20</v>
      </c>
      <c r="C16" s="13" t="s">
        <v>1</v>
      </c>
      <c r="F16" s="58"/>
      <c r="J16">
        <v>150</v>
      </c>
      <c r="K16">
        <v>199</v>
      </c>
      <c r="N16" s="167"/>
      <c r="O16" s="168">
        <v>4090</v>
      </c>
    </row>
    <row r="17" spans="2:15" ht="15" x14ac:dyDescent="0.25">
      <c r="B17" s="1"/>
      <c r="C17" s="13"/>
      <c r="F17" s="4" t="s">
        <v>297</v>
      </c>
      <c r="J17">
        <v>200</v>
      </c>
      <c r="K17">
        <v>249</v>
      </c>
      <c r="N17" s="167"/>
      <c r="O17" s="168">
        <v>4670</v>
      </c>
    </row>
    <row r="18" spans="2:15" ht="15" x14ac:dyDescent="0.25">
      <c r="B18" s="1"/>
      <c r="C18" s="13"/>
      <c r="J18">
        <v>250</v>
      </c>
      <c r="K18">
        <v>299</v>
      </c>
      <c r="L18" s="86"/>
      <c r="N18" s="167"/>
      <c r="O18" s="168">
        <v>5760</v>
      </c>
    </row>
    <row r="19" spans="2:15" ht="15" x14ac:dyDescent="0.25">
      <c r="B19" s="1"/>
      <c r="J19">
        <v>300</v>
      </c>
      <c r="K19">
        <v>349</v>
      </c>
      <c r="N19" s="167"/>
      <c r="O19" s="168">
        <v>6830</v>
      </c>
    </row>
    <row r="20" spans="2:15" ht="15" x14ac:dyDescent="0.25">
      <c r="B20" s="8" t="s">
        <v>15</v>
      </c>
      <c r="C20" s="2"/>
      <c r="E20" s="21" t="s">
        <v>12</v>
      </c>
      <c r="F20" s="21" t="s">
        <v>13</v>
      </c>
      <c r="G20" s="8"/>
      <c r="H20" s="16" t="s">
        <v>14</v>
      </c>
      <c r="J20">
        <v>350</v>
      </c>
      <c r="K20">
        <v>399</v>
      </c>
      <c r="N20" s="167"/>
      <c r="O20" s="168">
        <v>7920</v>
      </c>
    </row>
    <row r="21" spans="2:15" ht="15" x14ac:dyDescent="0.25">
      <c r="H21" s="17"/>
      <c r="J21">
        <v>400</v>
      </c>
      <c r="K21">
        <v>449</v>
      </c>
      <c r="N21" s="167"/>
      <c r="O21" s="168">
        <v>8980</v>
      </c>
    </row>
    <row r="22" spans="2:15" ht="15" x14ac:dyDescent="0.25">
      <c r="B22" s="49" t="s">
        <v>54</v>
      </c>
      <c r="D22" s="108" t="s">
        <v>418</v>
      </c>
      <c r="E22" s="4">
        <v>1</v>
      </c>
      <c r="F22" s="17">
        <v>2960</v>
      </c>
      <c r="G22" s="18">
        <v>0</v>
      </c>
      <c r="H22" s="17">
        <v>2960</v>
      </c>
      <c r="J22">
        <v>450</v>
      </c>
      <c r="K22">
        <v>499</v>
      </c>
      <c r="N22" s="167"/>
      <c r="O22" s="168">
        <v>10080</v>
      </c>
    </row>
    <row r="23" spans="2:15" ht="15" x14ac:dyDescent="0.25">
      <c r="B23" s="4"/>
      <c r="F23" s="17"/>
      <c r="G23" s="18"/>
      <c r="H23" s="17"/>
      <c r="J23">
        <v>500</v>
      </c>
      <c r="K23">
        <v>549</v>
      </c>
      <c r="N23" s="167"/>
      <c r="O23" s="168">
        <v>11150</v>
      </c>
    </row>
    <row r="24" spans="2:15" ht="15" x14ac:dyDescent="0.25">
      <c r="B24" s="108" t="s">
        <v>566</v>
      </c>
      <c r="F24" s="17"/>
      <c r="G24" s="18"/>
      <c r="H24" s="17"/>
      <c r="J24">
        <v>550</v>
      </c>
      <c r="K24">
        <v>599</v>
      </c>
      <c r="N24" s="167"/>
      <c r="O24" s="168">
        <v>12200</v>
      </c>
    </row>
    <row r="25" spans="2:15" ht="15" x14ac:dyDescent="0.25">
      <c r="F25" s="17"/>
      <c r="G25" s="18"/>
      <c r="H25" s="17"/>
      <c r="J25">
        <v>600</v>
      </c>
      <c r="K25">
        <v>649</v>
      </c>
      <c r="N25" s="167"/>
      <c r="O25" s="168">
        <v>13260</v>
      </c>
    </row>
    <row r="26" spans="2:15" ht="15" x14ac:dyDescent="0.25">
      <c r="F26" s="17"/>
      <c r="G26" s="18"/>
      <c r="H26" s="17"/>
      <c r="J26">
        <v>650</v>
      </c>
      <c r="K26">
        <v>699</v>
      </c>
      <c r="N26" s="167"/>
      <c r="O26" s="168">
        <v>14360</v>
      </c>
    </row>
    <row r="27" spans="2:15" ht="15" x14ac:dyDescent="0.25">
      <c r="B27" t="s">
        <v>1</v>
      </c>
      <c r="F27" s="17"/>
      <c r="G27" s="18"/>
      <c r="H27" s="17"/>
      <c r="J27">
        <v>700</v>
      </c>
      <c r="K27">
        <v>749</v>
      </c>
      <c r="N27" s="167"/>
      <c r="O27" s="168">
        <v>15430</v>
      </c>
    </row>
    <row r="28" spans="2:15" ht="15" x14ac:dyDescent="0.25">
      <c r="B28" s="8" t="s">
        <v>21</v>
      </c>
      <c r="C28" t="s">
        <v>1</v>
      </c>
      <c r="F28" s="17"/>
      <c r="G28" s="18"/>
      <c r="H28" s="17"/>
      <c r="J28">
        <v>750</v>
      </c>
      <c r="K28">
        <v>799</v>
      </c>
      <c r="N28" s="167"/>
      <c r="O28" s="168">
        <v>16530</v>
      </c>
    </row>
    <row r="29" spans="2:15" ht="15" x14ac:dyDescent="0.25">
      <c r="B29" s="11" t="s">
        <v>1</v>
      </c>
      <c r="C29" s="11"/>
      <c r="D29" s="11"/>
      <c r="E29" s="11" t="s">
        <v>1</v>
      </c>
      <c r="F29" s="22" t="s">
        <v>1</v>
      </c>
      <c r="G29" s="23"/>
      <c r="H29" s="17" t="s">
        <v>1</v>
      </c>
      <c r="J29">
        <v>800</v>
      </c>
      <c r="K29">
        <v>849</v>
      </c>
      <c r="N29" s="167"/>
      <c r="O29" s="168">
        <v>17590</v>
      </c>
    </row>
    <row r="30" spans="2:15" ht="15" x14ac:dyDescent="0.25">
      <c r="B30" s="11"/>
      <c r="C30" s="11"/>
      <c r="D30" s="11"/>
      <c r="E30" s="11"/>
      <c r="F30" s="22"/>
      <c r="G30" s="22"/>
      <c r="H30" s="17"/>
      <c r="J30">
        <v>850</v>
      </c>
      <c r="K30">
        <v>899</v>
      </c>
      <c r="N30" s="167"/>
      <c r="O30" s="168">
        <v>18680</v>
      </c>
    </row>
    <row r="31" spans="2:15" ht="15" x14ac:dyDescent="0.25">
      <c r="B31" s="11"/>
      <c r="C31" s="11"/>
      <c r="D31" s="11"/>
      <c r="E31" s="11"/>
      <c r="F31" s="22"/>
      <c r="G31" s="22"/>
      <c r="H31" s="17"/>
      <c r="J31">
        <v>900</v>
      </c>
      <c r="K31">
        <v>949</v>
      </c>
      <c r="N31" s="167"/>
      <c r="O31" s="168">
        <v>19750</v>
      </c>
    </row>
    <row r="32" spans="2:15" ht="15" x14ac:dyDescent="0.25">
      <c r="F32" s="17"/>
      <c r="G32" s="17"/>
      <c r="H32" s="17"/>
      <c r="J32">
        <v>950</v>
      </c>
      <c r="K32">
        <v>999</v>
      </c>
      <c r="N32" s="167"/>
      <c r="O32" s="168">
        <v>20820</v>
      </c>
    </row>
    <row r="33" spans="2:15" ht="15" x14ac:dyDescent="0.25">
      <c r="F33" s="17"/>
      <c r="G33" s="17"/>
      <c r="H33" s="17"/>
      <c r="J33">
        <v>1000</v>
      </c>
      <c r="K33">
        <v>1099</v>
      </c>
      <c r="N33" s="167"/>
      <c r="O33" s="168">
        <v>23000</v>
      </c>
    </row>
    <row r="34" spans="2:15" ht="15" x14ac:dyDescent="0.25">
      <c r="F34" s="17"/>
      <c r="G34" s="17"/>
      <c r="H34" s="17"/>
      <c r="J34">
        <v>1100</v>
      </c>
      <c r="K34">
        <v>1199</v>
      </c>
      <c r="N34" s="167"/>
      <c r="O34" s="168">
        <v>24100</v>
      </c>
    </row>
    <row r="35" spans="2:15" ht="15.75" x14ac:dyDescent="0.25">
      <c r="B35" s="3" t="s">
        <v>23</v>
      </c>
      <c r="C35" s="3"/>
      <c r="D35" s="3"/>
      <c r="E35" s="3"/>
      <c r="F35" s="19"/>
      <c r="G35" s="19"/>
      <c r="H35" s="19">
        <f>SUM(H22:H34)</f>
        <v>2960</v>
      </c>
      <c r="J35">
        <v>1200</v>
      </c>
      <c r="K35">
        <v>1299</v>
      </c>
      <c r="N35" s="167"/>
      <c r="O35" s="168">
        <v>26260</v>
      </c>
    </row>
    <row r="36" spans="2:15" ht="15" x14ac:dyDescent="0.25">
      <c r="J36">
        <v>1300</v>
      </c>
      <c r="K36">
        <v>1399</v>
      </c>
      <c r="N36" s="167"/>
      <c r="O36" s="168">
        <v>28400</v>
      </c>
    </row>
    <row r="37" spans="2:15" ht="15" x14ac:dyDescent="0.25">
      <c r="J37">
        <v>1400</v>
      </c>
      <c r="K37">
        <v>1499</v>
      </c>
      <c r="N37" s="167"/>
      <c r="O37" s="168">
        <v>30240</v>
      </c>
    </row>
    <row r="38" spans="2:15" ht="15" x14ac:dyDescent="0.25">
      <c r="J38">
        <v>1500</v>
      </c>
      <c r="K38">
        <v>1599</v>
      </c>
      <c r="N38" s="167"/>
      <c r="O38" s="168">
        <v>32710</v>
      </c>
    </row>
    <row r="39" spans="2:15" ht="15" x14ac:dyDescent="0.25">
      <c r="J39">
        <v>1600</v>
      </c>
      <c r="K39">
        <v>1699</v>
      </c>
      <c r="N39" s="167"/>
      <c r="O39" s="168">
        <v>34890</v>
      </c>
    </row>
    <row r="40" spans="2:15" ht="15" x14ac:dyDescent="0.25">
      <c r="J40">
        <v>1700</v>
      </c>
      <c r="K40">
        <v>1799</v>
      </c>
      <c r="N40" s="167"/>
      <c r="O40" s="168">
        <v>37060</v>
      </c>
    </row>
    <row r="41" spans="2:15" ht="15" x14ac:dyDescent="0.25">
      <c r="J41">
        <v>1800</v>
      </c>
      <c r="K41">
        <v>1899</v>
      </c>
      <c r="N41" s="167"/>
      <c r="O41" s="168">
        <v>39200</v>
      </c>
    </row>
    <row r="42" spans="2:15" ht="15" x14ac:dyDescent="0.25">
      <c r="J42">
        <v>1900</v>
      </c>
      <c r="K42">
        <v>1999</v>
      </c>
      <c r="N42" s="167"/>
      <c r="O42" s="168">
        <v>41380</v>
      </c>
    </row>
    <row r="43" spans="2:15" ht="15" x14ac:dyDescent="0.25">
      <c r="J43">
        <v>2000</v>
      </c>
      <c r="K43">
        <v>2099</v>
      </c>
      <c r="N43" s="167"/>
      <c r="O43" s="168">
        <v>43500</v>
      </c>
    </row>
    <row r="44" spans="2:15" ht="15" x14ac:dyDescent="0.25">
      <c r="J44">
        <v>2100</v>
      </c>
      <c r="K44">
        <v>2199</v>
      </c>
      <c r="N44" s="167"/>
      <c r="O44" s="168">
        <v>45650</v>
      </c>
    </row>
    <row r="45" spans="2:15" ht="15" x14ac:dyDescent="0.25">
      <c r="J45">
        <v>2200</v>
      </c>
      <c r="K45">
        <v>2299</v>
      </c>
      <c r="N45" s="167"/>
      <c r="O45" s="168">
        <v>47850</v>
      </c>
    </row>
    <row r="46" spans="2:15" ht="15" x14ac:dyDescent="0.25">
      <c r="J46">
        <v>2300</v>
      </c>
      <c r="K46">
        <v>2399</v>
      </c>
      <c r="N46" s="167"/>
      <c r="O46" s="168">
        <v>49980</v>
      </c>
    </row>
    <row r="47" spans="2:15" ht="15" x14ac:dyDescent="0.25">
      <c r="J47">
        <v>2400</v>
      </c>
      <c r="K47">
        <v>2499</v>
      </c>
      <c r="N47" s="167"/>
      <c r="O47" s="168">
        <v>52160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3CFE-58E3-46A7-98E0-AF3B58AFD86A}">
  <dimension ref="B1:Q46"/>
  <sheetViews>
    <sheetView workbookViewId="0">
      <selection activeCell="J4" sqref="J4"/>
    </sheetView>
  </sheetViews>
  <sheetFormatPr baseColWidth="10" defaultRowHeight="12.75" x14ac:dyDescent="0.2"/>
  <sheetData>
    <row r="1" spans="2:17" ht="20.25" x14ac:dyDescent="0.3">
      <c r="B1" s="10" t="s">
        <v>22</v>
      </c>
    </row>
    <row r="3" spans="2:17" x14ac:dyDescent="0.2">
      <c r="B3" s="1" t="s">
        <v>0</v>
      </c>
      <c r="C3" s="108" t="s">
        <v>865</v>
      </c>
      <c r="F3" s="1" t="s">
        <v>19</v>
      </c>
      <c r="G3" s="12" t="s">
        <v>30</v>
      </c>
      <c r="H3" s="13"/>
    </row>
    <row r="4" spans="2:17" x14ac:dyDescent="0.2">
      <c r="B4" s="1" t="s">
        <v>18</v>
      </c>
      <c r="C4" s="4">
        <v>33197</v>
      </c>
      <c r="F4" s="1"/>
      <c r="G4" s="1"/>
      <c r="H4" s="13"/>
    </row>
    <row r="5" spans="2:17" x14ac:dyDescent="0.2">
      <c r="B5" s="1"/>
      <c r="C5" s="14" t="s">
        <v>1</v>
      </c>
      <c r="F5" s="1" t="s">
        <v>10</v>
      </c>
      <c r="G5" s="15">
        <v>46112</v>
      </c>
      <c r="H5" s="13"/>
    </row>
    <row r="6" spans="2:17" x14ac:dyDescent="0.2">
      <c r="B6" s="1"/>
      <c r="G6" t="s">
        <v>864</v>
      </c>
    </row>
    <row r="7" spans="2:17" x14ac:dyDescent="0.2">
      <c r="B7" s="8" t="s">
        <v>7</v>
      </c>
    </row>
    <row r="8" spans="2:17" x14ac:dyDescent="0.2">
      <c r="B8" s="1" t="s">
        <v>8</v>
      </c>
      <c r="C8" s="38" t="s">
        <v>298</v>
      </c>
      <c r="F8" s="44"/>
    </row>
    <row r="9" spans="2:17" x14ac:dyDescent="0.2">
      <c r="B9" s="1" t="s">
        <v>9</v>
      </c>
      <c r="C9" s="12" t="s">
        <v>861</v>
      </c>
      <c r="F9" s="32"/>
    </row>
    <row r="10" spans="2:17" ht="15" x14ac:dyDescent="0.25">
      <c r="B10" s="1"/>
      <c r="F10" s="4" t="s">
        <v>185</v>
      </c>
      <c r="K10" s="86"/>
      <c r="L10" s="86"/>
      <c r="N10" s="86"/>
      <c r="O10" s="162">
        <v>2026</v>
      </c>
    </row>
    <row r="11" spans="2:17" ht="15" x14ac:dyDescent="0.25">
      <c r="B11" s="1" t="s">
        <v>16</v>
      </c>
      <c r="C11" s="11" t="s">
        <v>29</v>
      </c>
      <c r="F11" s="4" t="s">
        <v>1</v>
      </c>
      <c r="J11" s="163" t="s">
        <v>785</v>
      </c>
      <c r="K11" s="163" t="s">
        <v>786</v>
      </c>
      <c r="L11" s="163"/>
      <c r="M11" s="164"/>
      <c r="N11" s="165"/>
      <c r="O11" s="166" t="s">
        <v>787</v>
      </c>
    </row>
    <row r="12" spans="2:17" ht="15" x14ac:dyDescent="0.25">
      <c r="B12" s="1"/>
      <c r="F12" s="150" t="s">
        <v>862</v>
      </c>
      <c r="J12" s="163"/>
      <c r="K12" s="163"/>
      <c r="L12" s="163"/>
      <c r="M12" s="164"/>
      <c r="N12" s="165"/>
      <c r="O12" s="166"/>
    </row>
    <row r="13" spans="2:17" ht="15" x14ac:dyDescent="0.25">
      <c r="B13" s="1"/>
      <c r="C13" s="13"/>
      <c r="J13" s="86">
        <v>1</v>
      </c>
      <c r="K13" s="86">
        <v>99</v>
      </c>
      <c r="L13" s="86"/>
      <c r="N13" s="167"/>
      <c r="O13" s="168">
        <v>2960</v>
      </c>
      <c r="P13" s="113" t="s">
        <v>860</v>
      </c>
      <c r="Q13" s="113"/>
    </row>
    <row r="14" spans="2:17" ht="15" x14ac:dyDescent="0.25">
      <c r="B14" s="1" t="s">
        <v>11</v>
      </c>
      <c r="C14" s="13" t="s">
        <v>39</v>
      </c>
      <c r="F14" s="49" t="s">
        <v>294</v>
      </c>
      <c r="J14">
        <v>100</v>
      </c>
      <c r="K14">
        <v>149</v>
      </c>
      <c r="N14" s="167"/>
      <c r="O14" s="168">
        <v>3580</v>
      </c>
    </row>
    <row r="15" spans="2:17" ht="26.25" x14ac:dyDescent="0.4">
      <c r="B15" s="1" t="s">
        <v>20</v>
      </c>
      <c r="C15" s="13" t="s">
        <v>1</v>
      </c>
      <c r="F15" s="58"/>
      <c r="J15">
        <v>150</v>
      </c>
      <c r="K15">
        <v>199</v>
      </c>
      <c r="N15" s="167"/>
      <c r="O15" s="168">
        <v>4090</v>
      </c>
    </row>
    <row r="16" spans="2:17" ht="15" x14ac:dyDescent="0.25">
      <c r="B16" s="1"/>
      <c r="C16" s="13"/>
      <c r="F16" s="108" t="s">
        <v>863</v>
      </c>
      <c r="J16">
        <v>200</v>
      </c>
      <c r="K16">
        <v>249</v>
      </c>
      <c r="N16" s="167"/>
      <c r="O16" s="168">
        <v>4670</v>
      </c>
    </row>
    <row r="17" spans="2:15" ht="15" x14ac:dyDescent="0.25">
      <c r="B17" s="1"/>
      <c r="C17" s="13"/>
      <c r="J17">
        <v>250</v>
      </c>
      <c r="K17">
        <v>299</v>
      </c>
      <c r="L17" s="86"/>
      <c r="N17" s="167"/>
      <c r="O17" s="168">
        <v>5760</v>
      </c>
    </row>
    <row r="18" spans="2:15" ht="15" x14ac:dyDescent="0.25">
      <c r="B18" s="1"/>
      <c r="J18">
        <v>300</v>
      </c>
      <c r="K18">
        <v>349</v>
      </c>
      <c r="N18" s="167"/>
      <c r="O18" s="168">
        <v>6830</v>
      </c>
    </row>
    <row r="19" spans="2:15" ht="15" x14ac:dyDescent="0.25">
      <c r="B19" s="8" t="s">
        <v>15</v>
      </c>
      <c r="C19" s="2"/>
      <c r="E19" s="21" t="s">
        <v>12</v>
      </c>
      <c r="F19" s="21" t="s">
        <v>13</v>
      </c>
      <c r="G19" s="8"/>
      <c r="H19" s="16" t="s">
        <v>14</v>
      </c>
      <c r="J19">
        <v>350</v>
      </c>
      <c r="K19">
        <v>399</v>
      </c>
      <c r="N19" s="167"/>
      <c r="O19" s="168">
        <v>7920</v>
      </c>
    </row>
    <row r="20" spans="2:15" ht="15" x14ac:dyDescent="0.25">
      <c r="H20" s="17"/>
      <c r="J20">
        <v>400</v>
      </c>
      <c r="K20">
        <v>449</v>
      </c>
      <c r="N20" s="167"/>
      <c r="O20" s="168">
        <v>8980</v>
      </c>
    </row>
    <row r="21" spans="2:15" ht="15" x14ac:dyDescent="0.25">
      <c r="B21" s="49" t="s">
        <v>54</v>
      </c>
      <c r="D21" s="108" t="s">
        <v>389</v>
      </c>
      <c r="E21" s="4">
        <v>1</v>
      </c>
      <c r="F21" s="17">
        <v>2960</v>
      </c>
      <c r="G21" s="18">
        <v>0</v>
      </c>
      <c r="H21" s="17">
        <v>2960</v>
      </c>
      <c r="J21">
        <v>450</v>
      </c>
      <c r="K21">
        <v>499</v>
      </c>
      <c r="N21" s="167"/>
      <c r="O21" s="168">
        <v>10080</v>
      </c>
    </row>
    <row r="22" spans="2:15" ht="15" x14ac:dyDescent="0.25">
      <c r="B22" s="4"/>
      <c r="F22" s="17"/>
      <c r="G22" s="18"/>
      <c r="H22" s="17"/>
      <c r="J22">
        <v>500</v>
      </c>
      <c r="K22">
        <v>549</v>
      </c>
      <c r="N22" s="167"/>
      <c r="O22" s="168">
        <v>11150</v>
      </c>
    </row>
    <row r="23" spans="2:15" ht="15" x14ac:dyDescent="0.25">
      <c r="B23" s="108" t="s">
        <v>566</v>
      </c>
      <c r="F23" s="17"/>
      <c r="G23" s="18"/>
      <c r="H23" s="17"/>
      <c r="J23">
        <v>550</v>
      </c>
      <c r="K23">
        <v>599</v>
      </c>
      <c r="N23" s="167"/>
      <c r="O23" s="168">
        <v>12200</v>
      </c>
    </row>
    <row r="24" spans="2:15" ht="15" x14ac:dyDescent="0.25">
      <c r="F24" s="17"/>
      <c r="G24" s="18"/>
      <c r="H24" s="17"/>
      <c r="J24">
        <v>600</v>
      </c>
      <c r="K24">
        <v>649</v>
      </c>
      <c r="N24" s="167"/>
      <c r="O24" s="168">
        <v>13260</v>
      </c>
    </row>
    <row r="25" spans="2:15" ht="15" x14ac:dyDescent="0.25">
      <c r="F25" s="17"/>
      <c r="G25" s="18"/>
      <c r="H25" s="17"/>
      <c r="J25">
        <v>650</v>
      </c>
      <c r="K25">
        <v>699</v>
      </c>
      <c r="N25" s="167"/>
      <c r="O25" s="168">
        <v>14360</v>
      </c>
    </row>
    <row r="26" spans="2:15" ht="15" x14ac:dyDescent="0.25">
      <c r="B26" t="s">
        <v>1</v>
      </c>
      <c r="F26" s="17"/>
      <c r="G26" s="18"/>
      <c r="H26" s="17"/>
      <c r="J26">
        <v>700</v>
      </c>
      <c r="K26">
        <v>749</v>
      </c>
      <c r="N26" s="167"/>
      <c r="O26" s="168">
        <v>15430</v>
      </c>
    </row>
    <row r="27" spans="2:15" ht="15" x14ac:dyDescent="0.25">
      <c r="B27" s="8" t="s">
        <v>21</v>
      </c>
      <c r="C27" t="s">
        <v>1</v>
      </c>
      <c r="F27" s="17"/>
      <c r="G27" s="18"/>
      <c r="H27" s="17"/>
      <c r="J27">
        <v>750</v>
      </c>
      <c r="K27">
        <v>799</v>
      </c>
      <c r="N27" s="167"/>
      <c r="O27" s="168">
        <v>16530</v>
      </c>
    </row>
    <row r="28" spans="2:15" ht="15" x14ac:dyDescent="0.25">
      <c r="B28" s="11" t="s">
        <v>1</v>
      </c>
      <c r="C28" s="11"/>
      <c r="D28" s="11"/>
      <c r="E28" s="11" t="s">
        <v>1</v>
      </c>
      <c r="F28" s="22" t="s">
        <v>1</v>
      </c>
      <c r="G28" s="23"/>
      <c r="H28" s="17" t="s">
        <v>1</v>
      </c>
      <c r="J28">
        <v>800</v>
      </c>
      <c r="K28">
        <v>849</v>
      </c>
      <c r="N28" s="167"/>
      <c r="O28" s="168">
        <v>17590</v>
      </c>
    </row>
    <row r="29" spans="2:15" ht="15" x14ac:dyDescent="0.25">
      <c r="B29" s="11"/>
      <c r="C29" s="11"/>
      <c r="D29" s="11"/>
      <c r="E29" s="11"/>
      <c r="F29" s="22"/>
      <c r="G29" s="22"/>
      <c r="H29" s="17"/>
      <c r="J29">
        <v>850</v>
      </c>
      <c r="K29">
        <v>899</v>
      </c>
      <c r="N29" s="167"/>
      <c r="O29" s="168">
        <v>18680</v>
      </c>
    </row>
    <row r="30" spans="2:15" ht="15" x14ac:dyDescent="0.25">
      <c r="B30" s="11"/>
      <c r="C30" s="11"/>
      <c r="D30" s="11"/>
      <c r="E30" s="11"/>
      <c r="F30" s="22"/>
      <c r="G30" s="22"/>
      <c r="H30" s="17"/>
      <c r="J30">
        <v>900</v>
      </c>
      <c r="K30">
        <v>949</v>
      </c>
      <c r="N30" s="167"/>
      <c r="O30" s="168">
        <v>19750</v>
      </c>
    </row>
    <row r="31" spans="2:15" ht="15" x14ac:dyDescent="0.25">
      <c r="F31" s="17"/>
      <c r="G31" s="17"/>
      <c r="H31" s="17"/>
      <c r="J31">
        <v>950</v>
      </c>
      <c r="K31">
        <v>999</v>
      </c>
      <c r="N31" s="167"/>
      <c r="O31" s="168">
        <v>20820</v>
      </c>
    </row>
    <row r="32" spans="2:15" ht="15" x14ac:dyDescent="0.25">
      <c r="F32" s="17"/>
      <c r="G32" s="17"/>
      <c r="H32" s="17"/>
      <c r="J32">
        <v>1000</v>
      </c>
      <c r="K32">
        <v>1099</v>
      </c>
      <c r="N32" s="167"/>
      <c r="O32" s="168">
        <v>23000</v>
      </c>
    </row>
    <row r="33" spans="2:15" ht="15" x14ac:dyDescent="0.25">
      <c r="F33" s="17"/>
      <c r="G33" s="17"/>
      <c r="H33" s="17"/>
      <c r="J33">
        <v>1100</v>
      </c>
      <c r="K33">
        <v>1199</v>
      </c>
      <c r="N33" s="167"/>
      <c r="O33" s="168">
        <v>24100</v>
      </c>
    </row>
    <row r="34" spans="2:15" ht="15.75" x14ac:dyDescent="0.25">
      <c r="B34" s="3" t="s">
        <v>23</v>
      </c>
      <c r="C34" s="3"/>
      <c r="D34" s="3"/>
      <c r="E34" s="3"/>
      <c r="F34" s="19"/>
      <c r="G34" s="19"/>
      <c r="H34" s="19">
        <f>SUM(H21:H33)</f>
        <v>2960</v>
      </c>
      <c r="J34">
        <v>1200</v>
      </c>
      <c r="K34">
        <v>1299</v>
      </c>
      <c r="N34" s="167"/>
      <c r="O34" s="168">
        <v>26260</v>
      </c>
    </row>
    <row r="35" spans="2:15" ht="15" x14ac:dyDescent="0.25">
      <c r="J35">
        <v>1300</v>
      </c>
      <c r="K35">
        <v>1399</v>
      </c>
      <c r="N35" s="167"/>
      <c r="O35" s="168">
        <v>28400</v>
      </c>
    </row>
    <row r="36" spans="2:15" ht="15" x14ac:dyDescent="0.25">
      <c r="J36">
        <v>1400</v>
      </c>
      <c r="K36">
        <v>1499</v>
      </c>
      <c r="N36" s="167"/>
      <c r="O36" s="168">
        <v>30240</v>
      </c>
    </row>
    <row r="37" spans="2:15" ht="15" x14ac:dyDescent="0.25">
      <c r="J37">
        <v>1500</v>
      </c>
      <c r="K37">
        <v>1599</v>
      </c>
      <c r="N37" s="167"/>
      <c r="O37" s="168">
        <v>32710</v>
      </c>
    </row>
    <row r="38" spans="2:15" ht="15" x14ac:dyDescent="0.25">
      <c r="J38">
        <v>1600</v>
      </c>
      <c r="K38">
        <v>1699</v>
      </c>
      <c r="N38" s="167"/>
      <c r="O38" s="168">
        <v>34890</v>
      </c>
    </row>
    <row r="39" spans="2:15" ht="15" x14ac:dyDescent="0.25">
      <c r="J39">
        <v>1700</v>
      </c>
      <c r="K39">
        <v>1799</v>
      </c>
      <c r="N39" s="167"/>
      <c r="O39" s="168">
        <v>37060</v>
      </c>
    </row>
    <row r="40" spans="2:15" ht="15" x14ac:dyDescent="0.25">
      <c r="J40">
        <v>1800</v>
      </c>
      <c r="K40">
        <v>1899</v>
      </c>
      <c r="N40" s="167"/>
      <c r="O40" s="168">
        <v>39200</v>
      </c>
    </row>
    <row r="41" spans="2:15" ht="15" x14ac:dyDescent="0.25">
      <c r="J41">
        <v>1900</v>
      </c>
      <c r="K41">
        <v>1999</v>
      </c>
      <c r="N41" s="167"/>
      <c r="O41" s="168">
        <v>41380</v>
      </c>
    </row>
    <row r="42" spans="2:15" ht="15" x14ac:dyDescent="0.25">
      <c r="J42">
        <v>2000</v>
      </c>
      <c r="K42">
        <v>2099</v>
      </c>
      <c r="N42" s="167"/>
      <c r="O42" s="168">
        <v>43500</v>
      </c>
    </row>
    <row r="43" spans="2:15" ht="15" x14ac:dyDescent="0.25">
      <c r="J43">
        <v>2100</v>
      </c>
      <c r="K43">
        <v>2199</v>
      </c>
      <c r="N43" s="167"/>
      <c r="O43" s="168">
        <v>45650</v>
      </c>
    </row>
    <row r="44" spans="2:15" ht="15" x14ac:dyDescent="0.25">
      <c r="J44">
        <v>2200</v>
      </c>
      <c r="K44">
        <v>2299</v>
      </c>
      <c r="N44" s="167"/>
      <c r="O44" s="168">
        <v>47850</v>
      </c>
    </row>
    <row r="45" spans="2:15" ht="15" x14ac:dyDescent="0.25">
      <c r="J45">
        <v>2300</v>
      </c>
      <c r="K45">
        <v>2399</v>
      </c>
      <c r="N45" s="167"/>
      <c r="O45" s="168">
        <v>49980</v>
      </c>
    </row>
    <row r="46" spans="2:15" ht="15" x14ac:dyDescent="0.25">
      <c r="J46">
        <v>2400</v>
      </c>
      <c r="K46">
        <v>2499</v>
      </c>
      <c r="N46" s="167"/>
      <c r="O46" s="168">
        <v>52160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3351-E9A7-4CDD-82C4-75EAC90D18B9}">
  <dimension ref="C2:L132"/>
  <sheetViews>
    <sheetView topLeftCell="A3" workbookViewId="0">
      <selection activeCell="K12" sqref="K12"/>
    </sheetView>
  </sheetViews>
  <sheetFormatPr baseColWidth="10" defaultRowHeight="12.75" x14ac:dyDescent="0.2"/>
  <cols>
    <col min="4" max="4" width="17" customWidth="1"/>
    <col min="11" max="11" width="22.140625" bestFit="1" customWidth="1"/>
    <col min="12" max="12" width="20.140625" customWidth="1"/>
  </cols>
  <sheetData>
    <row r="2" spans="3:12" ht="20.25" x14ac:dyDescent="0.3">
      <c r="C2" s="10" t="s">
        <v>22</v>
      </c>
    </row>
    <row r="4" spans="3:12" x14ac:dyDescent="0.2">
      <c r="C4" s="1" t="s">
        <v>0</v>
      </c>
      <c r="D4" s="1" t="s">
        <v>607</v>
      </c>
      <c r="G4" s="1" t="s">
        <v>19</v>
      </c>
      <c r="H4" s="12" t="s">
        <v>30</v>
      </c>
      <c r="I4" s="13"/>
    </row>
    <row r="5" spans="3:12" x14ac:dyDescent="0.2">
      <c r="C5" s="1" t="s">
        <v>18</v>
      </c>
      <c r="D5" s="151">
        <v>33182</v>
      </c>
      <c r="F5" s="4"/>
      <c r="G5" s="1"/>
      <c r="H5" s="1"/>
      <c r="I5" s="13"/>
    </row>
    <row r="6" spans="3:12" ht="18.75" x14ac:dyDescent="0.3">
      <c r="C6" s="1"/>
      <c r="D6" s="14" t="s">
        <v>1</v>
      </c>
      <c r="G6" s="1" t="s">
        <v>10</v>
      </c>
      <c r="H6" s="15">
        <v>45909</v>
      </c>
      <c r="I6" s="13"/>
      <c r="K6" s="209" t="s">
        <v>829</v>
      </c>
      <c r="L6" s="210"/>
    </row>
    <row r="7" spans="3:12" ht="13.5" x14ac:dyDescent="0.25">
      <c r="C7" s="1"/>
      <c r="K7" s="211" t="s">
        <v>830</v>
      </c>
      <c r="L7" s="210"/>
    </row>
    <row r="8" spans="3:12" x14ac:dyDescent="0.2">
      <c r="C8" s="8" t="s">
        <v>7</v>
      </c>
    </row>
    <row r="9" spans="3:12" ht="15" x14ac:dyDescent="0.25">
      <c r="C9" s="1" t="s">
        <v>8</v>
      </c>
      <c r="D9" s="112" t="s">
        <v>608</v>
      </c>
      <c r="G9" s="44"/>
      <c r="K9" s="175" t="s">
        <v>660</v>
      </c>
      <c r="L9" s="175" t="s">
        <v>661</v>
      </c>
    </row>
    <row r="10" spans="3:12" x14ac:dyDescent="0.2">
      <c r="C10" s="1" t="s">
        <v>9</v>
      </c>
      <c r="D10" s="12"/>
      <c r="G10" s="32"/>
      <c r="K10" s="170" t="s">
        <v>662</v>
      </c>
      <c r="L10" s="171">
        <v>1500</v>
      </c>
    </row>
    <row r="11" spans="3:12" x14ac:dyDescent="0.2">
      <c r="C11" s="1"/>
      <c r="G11" s="4" t="s">
        <v>185</v>
      </c>
      <c r="K11" s="172" t="s">
        <v>663</v>
      </c>
      <c r="L11" s="173">
        <v>2280</v>
      </c>
    </row>
    <row r="12" spans="3:12" x14ac:dyDescent="0.2">
      <c r="C12" s="1" t="s">
        <v>16</v>
      </c>
      <c r="D12" s="11" t="s">
        <v>29</v>
      </c>
      <c r="G12" s="4" t="s">
        <v>1</v>
      </c>
      <c r="K12" s="170" t="s">
        <v>664</v>
      </c>
      <c r="L12" s="171">
        <v>2870</v>
      </c>
    </row>
    <row r="13" spans="3:12" x14ac:dyDescent="0.2">
      <c r="C13" s="1"/>
      <c r="G13" s="49"/>
      <c r="K13" s="172" t="s">
        <v>665</v>
      </c>
      <c r="L13" s="173">
        <v>3260</v>
      </c>
    </row>
    <row r="14" spans="3:12" x14ac:dyDescent="0.2">
      <c r="C14" s="1"/>
      <c r="D14" s="13"/>
      <c r="K14" s="170" t="s">
        <v>666</v>
      </c>
      <c r="L14" s="171">
        <v>3450</v>
      </c>
    </row>
    <row r="15" spans="3:12" x14ac:dyDescent="0.2">
      <c r="C15" s="1" t="s">
        <v>11</v>
      </c>
      <c r="D15" s="13" t="s">
        <v>39</v>
      </c>
      <c r="G15" s="150" t="s">
        <v>609</v>
      </c>
      <c r="J15" s="32"/>
      <c r="K15" s="172" t="s">
        <v>667</v>
      </c>
      <c r="L15" s="173">
        <v>3810</v>
      </c>
    </row>
    <row r="16" spans="3:12" ht="26.25" x14ac:dyDescent="0.4">
      <c r="C16" s="1" t="s">
        <v>20</v>
      </c>
      <c r="D16" s="13" t="s">
        <v>1</v>
      </c>
      <c r="G16" s="58"/>
      <c r="K16" s="170" t="s">
        <v>668</v>
      </c>
      <c r="L16" s="171">
        <v>4020</v>
      </c>
    </row>
    <row r="17" spans="3:12" x14ac:dyDescent="0.2">
      <c r="C17" s="1"/>
      <c r="D17" s="13"/>
      <c r="G17" s="4"/>
      <c r="K17" s="172" t="s">
        <v>669</v>
      </c>
      <c r="L17" s="173">
        <v>4260</v>
      </c>
    </row>
    <row r="18" spans="3:12" x14ac:dyDescent="0.2">
      <c r="C18" s="1"/>
      <c r="D18" s="13"/>
      <c r="K18" s="170" t="s">
        <v>670</v>
      </c>
      <c r="L18" s="171">
        <v>4490</v>
      </c>
    </row>
    <row r="19" spans="3:12" x14ac:dyDescent="0.2">
      <c r="C19" s="1"/>
      <c r="K19" s="172" t="s">
        <v>671</v>
      </c>
      <c r="L19" s="173">
        <v>4860</v>
      </c>
    </row>
    <row r="20" spans="3:12" x14ac:dyDescent="0.2">
      <c r="C20" s="8" t="s">
        <v>15</v>
      </c>
      <c r="D20" s="2"/>
      <c r="F20" s="21" t="s">
        <v>12</v>
      </c>
      <c r="G20" s="21" t="s">
        <v>13</v>
      </c>
      <c r="H20" s="8"/>
      <c r="I20" s="16" t="s">
        <v>14</v>
      </c>
      <c r="K20" s="170" t="s">
        <v>672</v>
      </c>
      <c r="L20" s="171">
        <v>5280</v>
      </c>
    </row>
    <row r="21" spans="3:12" x14ac:dyDescent="0.2">
      <c r="I21" s="17"/>
      <c r="K21" s="172" t="s">
        <v>673</v>
      </c>
      <c r="L21" s="173">
        <v>5690</v>
      </c>
    </row>
    <row r="22" spans="3:12" x14ac:dyDescent="0.2">
      <c r="C22" s="150" t="s">
        <v>654</v>
      </c>
      <c r="F22" s="4">
        <v>1</v>
      </c>
      <c r="G22" s="17">
        <v>2870</v>
      </c>
      <c r="H22" s="18"/>
      <c r="I22" s="17">
        <f>F22*G22</f>
        <v>2870</v>
      </c>
      <c r="K22" s="170" t="s">
        <v>674</v>
      </c>
      <c r="L22" s="171">
        <v>6100</v>
      </c>
    </row>
    <row r="23" spans="3:12" x14ac:dyDescent="0.2">
      <c r="C23" s="150"/>
      <c r="F23" s="4"/>
      <c r="G23" s="17"/>
      <c r="H23" s="18"/>
      <c r="I23" s="17"/>
      <c r="K23" s="172" t="s">
        <v>675</v>
      </c>
      <c r="L23" s="173">
        <v>6520</v>
      </c>
    </row>
    <row r="24" spans="3:12" x14ac:dyDescent="0.2">
      <c r="C24" s="49"/>
      <c r="F24" s="4"/>
      <c r="G24" s="17"/>
      <c r="H24" s="18"/>
      <c r="I24" s="17"/>
      <c r="K24" s="170" t="s">
        <v>676</v>
      </c>
      <c r="L24" s="171">
        <v>6940</v>
      </c>
    </row>
    <row r="25" spans="3:12" x14ac:dyDescent="0.2">
      <c r="C25" s="49"/>
      <c r="F25" s="4"/>
      <c r="G25" s="17"/>
      <c r="H25" s="18"/>
      <c r="I25" s="17"/>
      <c r="K25" s="172" t="s">
        <v>677</v>
      </c>
      <c r="L25" s="173">
        <v>7370</v>
      </c>
    </row>
    <row r="26" spans="3:12" x14ac:dyDescent="0.2">
      <c r="C26" s="49"/>
      <c r="F26" s="4"/>
      <c r="G26" s="17"/>
      <c r="H26" s="18"/>
      <c r="I26" s="17"/>
      <c r="K26" s="170" t="s">
        <v>678</v>
      </c>
      <c r="L26" s="171">
        <v>7790</v>
      </c>
    </row>
    <row r="27" spans="3:12" x14ac:dyDescent="0.2">
      <c r="C27" s="49"/>
      <c r="F27" s="4"/>
      <c r="G27" s="17"/>
      <c r="H27" s="18"/>
      <c r="I27" s="17"/>
      <c r="K27" s="172" t="s">
        <v>679</v>
      </c>
      <c r="L27" s="173">
        <v>8200</v>
      </c>
    </row>
    <row r="28" spans="3:12" x14ac:dyDescent="0.2">
      <c r="C28" s="49"/>
      <c r="F28" s="4"/>
      <c r="G28" s="17"/>
      <c r="H28" s="18"/>
      <c r="I28" s="17"/>
      <c r="K28" s="170" t="s">
        <v>680</v>
      </c>
      <c r="L28" s="171">
        <v>8610</v>
      </c>
    </row>
    <row r="29" spans="3:12" x14ac:dyDescent="0.2">
      <c r="C29" t="s">
        <v>1</v>
      </c>
      <c r="G29" s="17"/>
      <c r="H29" s="18"/>
      <c r="I29" s="17"/>
      <c r="K29" s="172" t="s">
        <v>681</v>
      </c>
      <c r="L29" s="173">
        <v>9020</v>
      </c>
    </row>
    <row r="30" spans="3:12" x14ac:dyDescent="0.2">
      <c r="C30" s="8" t="s">
        <v>21</v>
      </c>
      <c r="D30" t="s">
        <v>1</v>
      </c>
      <c r="G30" s="17"/>
      <c r="H30" s="18"/>
      <c r="I30" s="17"/>
      <c r="K30" s="170" t="s">
        <v>682</v>
      </c>
      <c r="L30" s="171">
        <v>9440</v>
      </c>
    </row>
    <row r="31" spans="3:12" x14ac:dyDescent="0.2">
      <c r="C31" s="11" t="s">
        <v>1</v>
      </c>
      <c r="D31" s="11"/>
      <c r="E31" s="11"/>
      <c r="F31" s="11" t="s">
        <v>1</v>
      </c>
      <c r="G31" s="22" t="s">
        <v>1</v>
      </c>
      <c r="H31" s="23"/>
      <c r="I31" s="17" t="s">
        <v>1</v>
      </c>
      <c r="K31" s="172" t="s">
        <v>683</v>
      </c>
      <c r="L31" s="173">
        <v>9860</v>
      </c>
    </row>
    <row r="32" spans="3:12" x14ac:dyDescent="0.2">
      <c r="C32" s="11"/>
      <c r="D32" s="11"/>
      <c r="E32" s="11"/>
      <c r="F32" s="11"/>
      <c r="G32" s="22"/>
      <c r="H32" s="22"/>
      <c r="I32" s="17"/>
      <c r="K32" s="170" t="s">
        <v>684</v>
      </c>
      <c r="L32" s="171">
        <v>10280</v>
      </c>
    </row>
    <row r="33" spans="3:12" x14ac:dyDescent="0.2">
      <c r="C33" s="11"/>
      <c r="D33" s="11"/>
      <c r="E33" s="11"/>
      <c r="F33" s="11"/>
      <c r="G33" s="22"/>
      <c r="H33" s="22"/>
      <c r="I33" s="17"/>
      <c r="K33" s="172" t="s">
        <v>685</v>
      </c>
      <c r="L33" s="173">
        <v>10700</v>
      </c>
    </row>
    <row r="34" spans="3:12" x14ac:dyDescent="0.2">
      <c r="G34" s="17"/>
      <c r="H34" s="17"/>
      <c r="I34" s="17"/>
      <c r="K34" s="170" t="s">
        <v>686</v>
      </c>
      <c r="L34" s="171">
        <v>11120</v>
      </c>
    </row>
    <row r="35" spans="3:12" x14ac:dyDescent="0.2">
      <c r="G35" s="17"/>
      <c r="H35" s="17"/>
      <c r="I35" s="17"/>
      <c r="K35" s="172" t="s">
        <v>687</v>
      </c>
      <c r="L35" s="173">
        <v>11530</v>
      </c>
    </row>
    <row r="36" spans="3:12" x14ac:dyDescent="0.2">
      <c r="G36" s="17"/>
      <c r="H36" s="17"/>
      <c r="I36" s="17"/>
      <c r="K36" s="170" t="s">
        <v>688</v>
      </c>
      <c r="L36" s="171">
        <v>11940</v>
      </c>
    </row>
    <row r="37" spans="3:12" ht="15.75" x14ac:dyDescent="0.25">
      <c r="C37" s="3" t="s">
        <v>23</v>
      </c>
      <c r="D37" s="3"/>
      <c r="E37" s="3"/>
      <c r="F37" s="3"/>
      <c r="G37" s="19"/>
      <c r="H37" s="19"/>
      <c r="I37" s="19">
        <f>SUM(I22:I36)</f>
        <v>2870</v>
      </c>
      <c r="K37" s="172" t="s">
        <v>689</v>
      </c>
      <c r="L37" s="173">
        <v>12350</v>
      </c>
    </row>
    <row r="38" spans="3:12" x14ac:dyDescent="0.2">
      <c r="K38" s="170" t="s">
        <v>690</v>
      </c>
      <c r="L38" s="171">
        <v>12760</v>
      </c>
    </row>
    <row r="39" spans="3:12" x14ac:dyDescent="0.2">
      <c r="K39" s="172" t="s">
        <v>691</v>
      </c>
      <c r="L39" s="173">
        <v>13180</v>
      </c>
    </row>
    <row r="40" spans="3:12" x14ac:dyDescent="0.2">
      <c r="K40" s="170" t="s">
        <v>692</v>
      </c>
      <c r="L40" s="171">
        <v>13610</v>
      </c>
    </row>
    <row r="41" spans="3:12" x14ac:dyDescent="0.2">
      <c r="K41" s="172" t="s">
        <v>693</v>
      </c>
      <c r="L41" s="173">
        <v>14030</v>
      </c>
    </row>
    <row r="42" spans="3:12" x14ac:dyDescent="0.2">
      <c r="K42" s="170" t="s">
        <v>694</v>
      </c>
      <c r="L42" s="171">
        <v>14450</v>
      </c>
    </row>
    <row r="43" spans="3:12" x14ac:dyDescent="0.2">
      <c r="K43" s="172" t="s">
        <v>695</v>
      </c>
      <c r="L43" s="173">
        <v>14870</v>
      </c>
    </row>
    <row r="44" spans="3:12" x14ac:dyDescent="0.2">
      <c r="K44" s="170" t="s">
        <v>696</v>
      </c>
      <c r="L44" s="171">
        <v>15290</v>
      </c>
    </row>
    <row r="45" spans="3:12" x14ac:dyDescent="0.2">
      <c r="K45" s="172" t="s">
        <v>697</v>
      </c>
      <c r="L45" s="173">
        <v>15710</v>
      </c>
    </row>
    <row r="46" spans="3:12" x14ac:dyDescent="0.2">
      <c r="K46" s="170" t="s">
        <v>698</v>
      </c>
      <c r="L46" s="171">
        <v>16130</v>
      </c>
    </row>
    <row r="47" spans="3:12" x14ac:dyDescent="0.2">
      <c r="K47" s="172" t="s">
        <v>699</v>
      </c>
      <c r="L47" s="173">
        <v>16540</v>
      </c>
    </row>
    <row r="48" spans="3:12" x14ac:dyDescent="0.2">
      <c r="K48" s="170" t="s">
        <v>700</v>
      </c>
      <c r="L48" s="171">
        <v>16960</v>
      </c>
    </row>
    <row r="49" spans="11:12" x14ac:dyDescent="0.2">
      <c r="K49" s="172" t="s">
        <v>701</v>
      </c>
      <c r="L49" s="173">
        <v>17380</v>
      </c>
    </row>
    <row r="50" spans="11:12" x14ac:dyDescent="0.2">
      <c r="K50" s="170" t="s">
        <v>702</v>
      </c>
      <c r="L50" s="171">
        <v>17800</v>
      </c>
    </row>
    <row r="51" spans="11:12" x14ac:dyDescent="0.2">
      <c r="K51" s="172" t="s">
        <v>703</v>
      </c>
      <c r="L51" s="173">
        <v>18220</v>
      </c>
    </row>
    <row r="52" spans="11:12" x14ac:dyDescent="0.2">
      <c r="K52" s="170" t="s">
        <v>704</v>
      </c>
      <c r="L52" s="171">
        <v>18640</v>
      </c>
    </row>
    <row r="53" spans="11:12" x14ac:dyDescent="0.2">
      <c r="K53" s="172" t="s">
        <v>705</v>
      </c>
      <c r="L53" s="173">
        <v>19060</v>
      </c>
    </row>
    <row r="54" spans="11:12" x14ac:dyDescent="0.2">
      <c r="K54" s="170" t="s">
        <v>706</v>
      </c>
      <c r="L54" s="171">
        <v>19470</v>
      </c>
    </row>
    <row r="55" spans="11:12" x14ac:dyDescent="0.2">
      <c r="K55" s="172" t="s">
        <v>707</v>
      </c>
      <c r="L55" s="173">
        <v>19880</v>
      </c>
    </row>
    <row r="56" spans="11:12" x14ac:dyDescent="0.2">
      <c r="K56" s="170" t="s">
        <v>708</v>
      </c>
      <c r="L56" s="171">
        <v>20330</v>
      </c>
    </row>
    <row r="57" spans="11:12" x14ac:dyDescent="0.2">
      <c r="K57" s="172" t="s">
        <v>709</v>
      </c>
      <c r="L57" s="173">
        <v>20900</v>
      </c>
    </row>
    <row r="58" spans="11:12" x14ac:dyDescent="0.2">
      <c r="K58" s="170" t="s">
        <v>710</v>
      </c>
      <c r="L58" s="171">
        <v>21470</v>
      </c>
    </row>
    <row r="59" spans="11:12" x14ac:dyDescent="0.2">
      <c r="K59" s="172" t="s">
        <v>711</v>
      </c>
      <c r="L59" s="173">
        <v>22040</v>
      </c>
    </row>
    <row r="60" spans="11:12" x14ac:dyDescent="0.2">
      <c r="K60" s="170" t="s">
        <v>712</v>
      </c>
      <c r="L60" s="171">
        <v>22430</v>
      </c>
    </row>
    <row r="61" spans="11:12" x14ac:dyDescent="0.2">
      <c r="K61" s="172" t="s">
        <v>713</v>
      </c>
      <c r="L61" s="173">
        <v>22640</v>
      </c>
    </row>
    <row r="62" spans="11:12" x14ac:dyDescent="0.2">
      <c r="K62" s="170" t="s">
        <v>714</v>
      </c>
      <c r="L62" s="171">
        <v>22860</v>
      </c>
    </row>
    <row r="63" spans="11:12" x14ac:dyDescent="0.2">
      <c r="K63" s="172" t="s">
        <v>715</v>
      </c>
      <c r="L63" s="173">
        <v>23070</v>
      </c>
    </row>
    <row r="64" spans="11:12" x14ac:dyDescent="0.2">
      <c r="K64" s="170" t="s">
        <v>716</v>
      </c>
      <c r="L64" s="171">
        <v>23280</v>
      </c>
    </row>
    <row r="65" spans="11:12" x14ac:dyDescent="0.2">
      <c r="K65" s="172" t="s">
        <v>717</v>
      </c>
      <c r="L65" s="173">
        <v>23600</v>
      </c>
    </row>
    <row r="66" spans="11:12" x14ac:dyDescent="0.2">
      <c r="K66" s="170" t="s">
        <v>718</v>
      </c>
      <c r="L66" s="171">
        <v>24010</v>
      </c>
    </row>
    <row r="67" spans="11:12" x14ac:dyDescent="0.2">
      <c r="K67" s="172" t="s">
        <v>719</v>
      </c>
      <c r="L67" s="173">
        <v>24430</v>
      </c>
    </row>
    <row r="68" spans="11:12" x14ac:dyDescent="0.2">
      <c r="K68" s="170" t="s">
        <v>720</v>
      </c>
      <c r="L68" s="171">
        <v>24850</v>
      </c>
    </row>
    <row r="69" spans="11:12" x14ac:dyDescent="0.2">
      <c r="K69" s="172" t="s">
        <v>721</v>
      </c>
      <c r="L69" s="173">
        <v>25260</v>
      </c>
    </row>
    <row r="70" spans="11:12" x14ac:dyDescent="0.2">
      <c r="K70" s="170" t="s">
        <v>722</v>
      </c>
      <c r="L70" s="171">
        <v>25680</v>
      </c>
    </row>
    <row r="71" spans="11:12" x14ac:dyDescent="0.2">
      <c r="K71" s="172" t="s">
        <v>723</v>
      </c>
      <c r="L71" s="173">
        <v>26090</v>
      </c>
    </row>
    <row r="72" spans="11:12" x14ac:dyDescent="0.2">
      <c r="K72" s="170" t="s">
        <v>724</v>
      </c>
      <c r="L72" s="171">
        <v>26510</v>
      </c>
    </row>
    <row r="73" spans="11:12" x14ac:dyDescent="0.2">
      <c r="K73" s="172" t="s">
        <v>725</v>
      </c>
      <c r="L73" s="173">
        <v>26930</v>
      </c>
    </row>
    <row r="74" spans="11:12" x14ac:dyDescent="0.2">
      <c r="K74" s="170" t="s">
        <v>726</v>
      </c>
      <c r="L74" s="171">
        <v>27340</v>
      </c>
    </row>
    <row r="75" spans="11:12" x14ac:dyDescent="0.2">
      <c r="K75" s="172" t="s">
        <v>727</v>
      </c>
      <c r="L75" s="173">
        <v>27730</v>
      </c>
    </row>
    <row r="76" spans="11:12" x14ac:dyDescent="0.2">
      <c r="K76" s="170" t="s">
        <v>728</v>
      </c>
      <c r="L76" s="171">
        <v>28080</v>
      </c>
    </row>
    <row r="77" spans="11:12" x14ac:dyDescent="0.2">
      <c r="K77" s="172" t="s">
        <v>729</v>
      </c>
      <c r="L77" s="173">
        <v>28440</v>
      </c>
    </row>
    <row r="78" spans="11:12" x14ac:dyDescent="0.2">
      <c r="K78" s="170" t="s">
        <v>730</v>
      </c>
      <c r="L78" s="171">
        <v>28800</v>
      </c>
    </row>
    <row r="79" spans="11:12" x14ac:dyDescent="0.2">
      <c r="K79" s="172" t="s">
        <v>731</v>
      </c>
      <c r="L79" s="173">
        <v>29150</v>
      </c>
    </row>
    <row r="80" spans="11:12" x14ac:dyDescent="0.2">
      <c r="K80" s="170" t="s">
        <v>732</v>
      </c>
      <c r="L80" s="171">
        <v>29570</v>
      </c>
    </row>
    <row r="81" spans="11:12" x14ac:dyDescent="0.2">
      <c r="K81" s="172" t="s">
        <v>733</v>
      </c>
      <c r="L81" s="173">
        <v>30050</v>
      </c>
    </row>
    <row r="82" spans="11:12" x14ac:dyDescent="0.2">
      <c r="K82" s="170" t="s">
        <v>734</v>
      </c>
      <c r="L82" s="171">
        <v>30530</v>
      </c>
    </row>
    <row r="83" spans="11:12" x14ac:dyDescent="0.2">
      <c r="K83" s="172" t="s">
        <v>735</v>
      </c>
      <c r="L83" s="173">
        <v>31010</v>
      </c>
    </row>
    <row r="84" spans="11:12" x14ac:dyDescent="0.2">
      <c r="K84" s="170" t="s">
        <v>736</v>
      </c>
      <c r="L84" s="171">
        <v>31490</v>
      </c>
    </row>
    <row r="85" spans="11:12" x14ac:dyDescent="0.2">
      <c r="K85" s="172" t="s">
        <v>737</v>
      </c>
      <c r="L85" s="173">
        <v>31940</v>
      </c>
    </row>
    <row r="86" spans="11:12" x14ac:dyDescent="0.2">
      <c r="K86" s="170" t="s">
        <v>738</v>
      </c>
      <c r="L86" s="171">
        <v>32360</v>
      </c>
    </row>
    <row r="87" spans="11:12" x14ac:dyDescent="0.2">
      <c r="K87" s="172" t="s">
        <v>739</v>
      </c>
      <c r="L87" s="173">
        <v>32780</v>
      </c>
    </row>
    <row r="88" spans="11:12" x14ac:dyDescent="0.2">
      <c r="K88" s="170" t="s">
        <v>740</v>
      </c>
      <c r="L88" s="171">
        <v>33210</v>
      </c>
    </row>
    <row r="89" spans="11:12" x14ac:dyDescent="0.2">
      <c r="K89" s="172" t="s">
        <v>741</v>
      </c>
      <c r="L89" s="173">
        <v>33630</v>
      </c>
    </row>
    <row r="90" spans="11:12" x14ac:dyDescent="0.2">
      <c r="K90" s="170" t="s">
        <v>742</v>
      </c>
      <c r="L90" s="171">
        <v>34050</v>
      </c>
    </row>
    <row r="91" spans="11:12" x14ac:dyDescent="0.2">
      <c r="K91" s="172" t="s">
        <v>743</v>
      </c>
      <c r="L91" s="173">
        <v>34470</v>
      </c>
    </row>
    <row r="92" spans="11:12" x14ac:dyDescent="0.2">
      <c r="K92" s="170" t="s">
        <v>744</v>
      </c>
      <c r="L92" s="171">
        <v>34900</v>
      </c>
    </row>
    <row r="93" spans="11:12" x14ac:dyDescent="0.2">
      <c r="K93" s="172" t="s">
        <v>745</v>
      </c>
      <c r="L93" s="173">
        <v>35320</v>
      </c>
    </row>
    <row r="94" spans="11:12" x14ac:dyDescent="0.2">
      <c r="K94" s="170" t="s">
        <v>746</v>
      </c>
      <c r="L94" s="171">
        <v>35740</v>
      </c>
    </row>
    <row r="95" spans="11:12" x14ac:dyDescent="0.2">
      <c r="K95" s="172" t="s">
        <v>747</v>
      </c>
      <c r="L95" s="173">
        <v>36160</v>
      </c>
    </row>
    <row r="96" spans="11:12" x14ac:dyDescent="0.2">
      <c r="K96" s="170" t="s">
        <v>748</v>
      </c>
      <c r="L96" s="171">
        <v>36580</v>
      </c>
    </row>
    <row r="97" spans="11:12" x14ac:dyDescent="0.2">
      <c r="K97" s="172" t="s">
        <v>749</v>
      </c>
      <c r="L97" s="173">
        <v>37000</v>
      </c>
    </row>
    <row r="98" spans="11:12" x14ac:dyDescent="0.2">
      <c r="K98" s="170" t="s">
        <v>750</v>
      </c>
      <c r="L98" s="171">
        <v>37410</v>
      </c>
    </row>
    <row r="99" spans="11:12" x14ac:dyDescent="0.2">
      <c r="K99" s="172" t="s">
        <v>751</v>
      </c>
      <c r="L99" s="173">
        <v>37830</v>
      </c>
    </row>
    <row r="100" spans="11:12" x14ac:dyDescent="0.2">
      <c r="K100" s="170" t="s">
        <v>752</v>
      </c>
      <c r="L100" s="171">
        <v>38250</v>
      </c>
    </row>
    <row r="101" spans="11:12" x14ac:dyDescent="0.2">
      <c r="K101" s="172" t="s">
        <v>753</v>
      </c>
      <c r="L101" s="173">
        <v>38670</v>
      </c>
    </row>
    <row r="102" spans="11:12" x14ac:dyDescent="0.2">
      <c r="K102" s="170" t="s">
        <v>754</v>
      </c>
      <c r="L102" s="171">
        <v>39080</v>
      </c>
    </row>
    <row r="103" spans="11:12" x14ac:dyDescent="0.2">
      <c r="K103" s="172" t="s">
        <v>755</v>
      </c>
      <c r="L103" s="173">
        <v>39500</v>
      </c>
    </row>
    <row r="104" spans="11:12" x14ac:dyDescent="0.2">
      <c r="K104" s="170" t="s">
        <v>756</v>
      </c>
      <c r="L104" s="171">
        <v>39920</v>
      </c>
    </row>
    <row r="105" spans="11:12" x14ac:dyDescent="0.2">
      <c r="K105" s="172" t="s">
        <v>757</v>
      </c>
      <c r="L105" s="173">
        <v>40340</v>
      </c>
    </row>
    <row r="106" spans="11:12" x14ac:dyDescent="0.2">
      <c r="K106" s="170" t="s">
        <v>758</v>
      </c>
      <c r="L106" s="171">
        <v>40750</v>
      </c>
    </row>
    <row r="107" spans="11:12" x14ac:dyDescent="0.2">
      <c r="K107" s="172" t="s">
        <v>759</v>
      </c>
      <c r="L107" s="173">
        <v>41160</v>
      </c>
    </row>
    <row r="108" spans="11:12" x14ac:dyDescent="0.2">
      <c r="K108" s="170" t="s">
        <v>760</v>
      </c>
      <c r="L108" s="171">
        <v>41580</v>
      </c>
    </row>
    <row r="109" spans="11:12" x14ac:dyDescent="0.2">
      <c r="K109" s="172" t="s">
        <v>761</v>
      </c>
      <c r="L109" s="173">
        <v>41990</v>
      </c>
    </row>
    <row r="110" spans="11:12" x14ac:dyDescent="0.2">
      <c r="K110" s="170" t="s">
        <v>762</v>
      </c>
      <c r="L110" s="171">
        <v>42410</v>
      </c>
    </row>
    <row r="111" spans="11:12" x14ac:dyDescent="0.2">
      <c r="K111" s="172" t="s">
        <v>763</v>
      </c>
      <c r="L111" s="173">
        <v>42820</v>
      </c>
    </row>
    <row r="112" spans="11:12" x14ac:dyDescent="0.2">
      <c r="K112" s="170" t="s">
        <v>764</v>
      </c>
      <c r="L112" s="171">
        <v>43240</v>
      </c>
    </row>
    <row r="113" spans="11:12" x14ac:dyDescent="0.2">
      <c r="K113" s="172" t="s">
        <v>765</v>
      </c>
      <c r="L113" s="173">
        <v>43660</v>
      </c>
    </row>
    <row r="114" spans="11:12" x14ac:dyDescent="0.2">
      <c r="K114" s="170" t="s">
        <v>766</v>
      </c>
      <c r="L114" s="171">
        <v>44070</v>
      </c>
    </row>
    <row r="115" spans="11:12" x14ac:dyDescent="0.2">
      <c r="K115" s="172" t="s">
        <v>767</v>
      </c>
      <c r="L115" s="173">
        <v>44490</v>
      </c>
    </row>
    <row r="116" spans="11:12" x14ac:dyDescent="0.2">
      <c r="K116" s="170" t="s">
        <v>768</v>
      </c>
      <c r="L116" s="171">
        <v>44920</v>
      </c>
    </row>
    <row r="117" spans="11:12" x14ac:dyDescent="0.2">
      <c r="K117" s="172" t="s">
        <v>769</v>
      </c>
      <c r="L117" s="173">
        <v>45340</v>
      </c>
    </row>
    <row r="118" spans="11:12" x14ac:dyDescent="0.2">
      <c r="K118" s="170" t="s">
        <v>770</v>
      </c>
      <c r="L118" s="171">
        <v>45770</v>
      </c>
    </row>
    <row r="119" spans="11:12" x14ac:dyDescent="0.2">
      <c r="K119" s="172" t="s">
        <v>771</v>
      </c>
      <c r="L119" s="173">
        <v>46200</v>
      </c>
    </row>
    <row r="120" spans="11:12" x14ac:dyDescent="0.2">
      <c r="K120" s="170" t="s">
        <v>772</v>
      </c>
      <c r="L120" s="171">
        <v>46620</v>
      </c>
    </row>
    <row r="121" spans="11:12" x14ac:dyDescent="0.2">
      <c r="K121" s="172" t="s">
        <v>773</v>
      </c>
      <c r="L121" s="173">
        <v>47030</v>
      </c>
    </row>
    <row r="122" spans="11:12" x14ac:dyDescent="0.2">
      <c r="K122" s="170" t="s">
        <v>774</v>
      </c>
      <c r="L122" s="171">
        <v>47440</v>
      </c>
    </row>
    <row r="123" spans="11:12" x14ac:dyDescent="0.2">
      <c r="K123" s="172" t="s">
        <v>775</v>
      </c>
      <c r="L123" s="173">
        <v>47860</v>
      </c>
    </row>
    <row r="124" spans="11:12" x14ac:dyDescent="0.2">
      <c r="K124" s="170" t="s">
        <v>776</v>
      </c>
      <c r="L124" s="171">
        <v>48270</v>
      </c>
    </row>
    <row r="125" spans="11:12" x14ac:dyDescent="0.2">
      <c r="K125" s="172" t="s">
        <v>777</v>
      </c>
      <c r="L125" s="173">
        <v>48690</v>
      </c>
    </row>
    <row r="126" spans="11:12" x14ac:dyDescent="0.2">
      <c r="K126" s="170" t="s">
        <v>778</v>
      </c>
      <c r="L126" s="171">
        <v>49110</v>
      </c>
    </row>
    <row r="127" spans="11:12" x14ac:dyDescent="0.2">
      <c r="K127" s="172" t="s">
        <v>779</v>
      </c>
      <c r="L127" s="173">
        <v>49540</v>
      </c>
    </row>
    <row r="128" spans="11:12" x14ac:dyDescent="0.2">
      <c r="K128" s="170" t="s">
        <v>780</v>
      </c>
      <c r="L128" s="171">
        <v>49960</v>
      </c>
    </row>
    <row r="129" spans="11:12" x14ac:dyDescent="0.2">
      <c r="K129" s="172" t="s">
        <v>781</v>
      </c>
      <c r="L129" s="173">
        <v>50380</v>
      </c>
    </row>
    <row r="130" spans="11:12" x14ac:dyDescent="0.2">
      <c r="K130" s="170" t="s">
        <v>782</v>
      </c>
      <c r="L130" s="171">
        <v>50800</v>
      </c>
    </row>
    <row r="131" spans="11:12" x14ac:dyDescent="0.2">
      <c r="K131" s="172" t="s">
        <v>783</v>
      </c>
      <c r="L131" s="173">
        <v>51220</v>
      </c>
    </row>
    <row r="132" spans="11:12" x14ac:dyDescent="0.2">
      <c r="K132" s="170" t="s">
        <v>784</v>
      </c>
      <c r="L132" s="171">
        <v>51540</v>
      </c>
    </row>
  </sheetData>
  <mergeCells count="2">
    <mergeCell ref="K6:L6"/>
    <mergeCell ref="K7:L7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B882-D391-4847-8379-3A64CE836AE5}">
  <sheetPr codeName="Ark22">
    <pageSetUpPr fitToPage="1"/>
  </sheetPr>
  <dimension ref="B3:I41"/>
  <sheetViews>
    <sheetView workbookViewId="0">
      <selection activeCell="I23" sqref="I23"/>
    </sheetView>
  </sheetViews>
  <sheetFormatPr baseColWidth="10" defaultRowHeight="12.75" x14ac:dyDescent="0.2"/>
  <sheetData>
    <row r="3" spans="2:8" ht="20.25" x14ac:dyDescent="0.3">
      <c r="B3" s="10" t="s">
        <v>22</v>
      </c>
    </row>
    <row r="5" spans="2:8" x14ac:dyDescent="0.2">
      <c r="B5" s="1" t="s">
        <v>0</v>
      </c>
      <c r="C5" s="4" t="s">
        <v>434</v>
      </c>
      <c r="F5" s="1" t="s">
        <v>19</v>
      </c>
      <c r="G5" s="12" t="s">
        <v>30</v>
      </c>
      <c r="H5" s="13"/>
    </row>
    <row r="6" spans="2:8" x14ac:dyDescent="0.2">
      <c r="B6" s="1" t="s">
        <v>18</v>
      </c>
      <c r="C6" s="4">
        <v>33141</v>
      </c>
      <c r="F6" s="1"/>
      <c r="G6" s="1"/>
      <c r="H6" s="13"/>
    </row>
    <row r="7" spans="2:8" x14ac:dyDescent="0.2">
      <c r="B7" s="1"/>
      <c r="C7" s="14" t="s">
        <v>1</v>
      </c>
      <c r="F7" s="1" t="s">
        <v>10</v>
      </c>
      <c r="G7" s="15">
        <f>'Veidekke industri, Møre'!G6</f>
        <v>46265</v>
      </c>
      <c r="H7" s="13"/>
    </row>
    <row r="8" spans="2:8" x14ac:dyDescent="0.2">
      <c r="B8" s="1"/>
    </row>
    <row r="9" spans="2:8" x14ac:dyDescent="0.2">
      <c r="B9" s="8" t="s">
        <v>7</v>
      </c>
      <c r="F9" t="s">
        <v>435</v>
      </c>
    </row>
    <row r="10" spans="2:8" x14ac:dyDescent="0.2">
      <c r="B10" s="1" t="s">
        <v>8</v>
      </c>
      <c r="C10" s="38" t="s">
        <v>440</v>
      </c>
      <c r="F10" s="44"/>
    </row>
    <row r="11" spans="2:8" x14ac:dyDescent="0.2">
      <c r="B11" s="1" t="s">
        <v>9</v>
      </c>
      <c r="C11" s="12" t="s">
        <v>1</v>
      </c>
      <c r="F11" s="32" t="s">
        <v>91</v>
      </c>
      <c r="G11" s="80">
        <v>45323</v>
      </c>
    </row>
    <row r="12" spans="2:8" x14ac:dyDescent="0.2">
      <c r="B12" s="1"/>
      <c r="F12" s="4" t="s">
        <v>1</v>
      </c>
    </row>
    <row r="13" spans="2:8" x14ac:dyDescent="0.2">
      <c r="B13" s="1" t="s">
        <v>16</v>
      </c>
      <c r="C13" s="11" t="s">
        <v>29</v>
      </c>
      <c r="F13" s="4" t="s">
        <v>424</v>
      </c>
    </row>
    <row r="14" spans="2:8" x14ac:dyDescent="0.2">
      <c r="B14" s="1"/>
      <c r="F14" s="49" t="s">
        <v>437</v>
      </c>
      <c r="G14">
        <v>199</v>
      </c>
    </row>
    <row r="15" spans="2:8" x14ac:dyDescent="0.2">
      <c r="B15" s="1"/>
      <c r="C15" s="13"/>
      <c r="F15" t="s">
        <v>436</v>
      </c>
      <c r="G15">
        <v>790</v>
      </c>
    </row>
    <row r="16" spans="2:8" x14ac:dyDescent="0.2">
      <c r="B16" s="1" t="s">
        <v>11</v>
      </c>
      <c r="C16" s="13" t="s">
        <v>39</v>
      </c>
      <c r="F16" s="49" t="s">
        <v>1</v>
      </c>
    </row>
    <row r="17" spans="2:9" x14ac:dyDescent="0.2">
      <c r="B17" s="1"/>
      <c r="C17" s="13"/>
      <c r="F17" s="49" t="s">
        <v>426</v>
      </c>
      <c r="G17" s="1">
        <v>2024</v>
      </c>
      <c r="H17" s="1">
        <v>2025</v>
      </c>
      <c r="I17" s="1">
        <v>2026</v>
      </c>
    </row>
    <row r="18" spans="2:9" x14ac:dyDescent="0.2">
      <c r="B18" s="1"/>
      <c r="C18" s="13"/>
      <c r="F18" s="49" t="s">
        <v>427</v>
      </c>
      <c r="G18">
        <v>1360</v>
      </c>
      <c r="H18">
        <v>1390</v>
      </c>
      <c r="I18" s="108">
        <v>1430</v>
      </c>
    </row>
    <row r="19" spans="2:9" x14ac:dyDescent="0.2">
      <c r="B19" s="1"/>
      <c r="C19" s="13"/>
      <c r="F19" s="49" t="s">
        <v>428</v>
      </c>
      <c r="G19">
        <v>1550</v>
      </c>
      <c r="H19">
        <v>1590</v>
      </c>
      <c r="I19" s="108">
        <v>1640</v>
      </c>
    </row>
    <row r="20" spans="2:9" x14ac:dyDescent="0.2">
      <c r="B20" s="1"/>
      <c r="C20" s="13"/>
      <c r="F20" s="49" t="s">
        <v>429</v>
      </c>
      <c r="G20">
        <v>1770</v>
      </c>
      <c r="H20">
        <v>1820</v>
      </c>
      <c r="I20" s="108">
        <v>1880</v>
      </c>
    </row>
    <row r="21" spans="2:9" x14ac:dyDescent="0.2">
      <c r="B21" s="1"/>
      <c r="C21" s="13"/>
      <c r="F21" s="49" t="s">
        <v>430</v>
      </c>
      <c r="G21">
        <v>1960</v>
      </c>
      <c r="H21">
        <v>2020</v>
      </c>
      <c r="I21" s="108">
        <v>2100</v>
      </c>
    </row>
    <row r="22" spans="2:9" x14ac:dyDescent="0.2">
      <c r="B22" s="1"/>
      <c r="C22" s="13"/>
      <c r="F22" s="49" t="s">
        <v>431</v>
      </c>
      <c r="G22">
        <v>2180</v>
      </c>
      <c r="H22">
        <v>2240</v>
      </c>
      <c r="I22" s="108">
        <v>2300</v>
      </c>
    </row>
    <row r="23" spans="2:9" x14ac:dyDescent="0.2">
      <c r="B23" s="1"/>
      <c r="C23" s="13"/>
      <c r="F23" s="89" t="s">
        <v>432</v>
      </c>
      <c r="G23">
        <v>2450</v>
      </c>
      <c r="H23">
        <v>2520</v>
      </c>
      <c r="I23" s="108">
        <v>2600</v>
      </c>
    </row>
    <row r="24" spans="2:9" x14ac:dyDescent="0.2">
      <c r="B24" s="1"/>
      <c r="C24" s="13"/>
      <c r="F24" s="90" t="s">
        <v>438</v>
      </c>
    </row>
    <row r="25" spans="2:9" x14ac:dyDescent="0.2">
      <c r="B25" s="1"/>
    </row>
    <row r="26" spans="2:9" x14ac:dyDescent="0.2">
      <c r="B26" s="8" t="s">
        <v>15</v>
      </c>
      <c r="C26" s="2"/>
      <c r="E26" s="21" t="s">
        <v>12</v>
      </c>
      <c r="F26" s="21" t="s">
        <v>13</v>
      </c>
      <c r="G26" s="8"/>
      <c r="H26" s="16" t="s">
        <v>14</v>
      </c>
    </row>
    <row r="27" spans="2:9" x14ac:dyDescent="0.2">
      <c r="H27" s="17"/>
    </row>
    <row r="28" spans="2:9" x14ac:dyDescent="0.2">
      <c r="B28" s="49" t="s">
        <v>54</v>
      </c>
      <c r="D28">
        <f>Felles!C5</f>
        <v>0</v>
      </c>
      <c r="E28" s="4">
        <v>1</v>
      </c>
      <c r="F28" s="17">
        <v>199</v>
      </c>
      <c r="G28" s="18"/>
      <c r="H28" s="17">
        <f>E28*F28</f>
        <v>199</v>
      </c>
    </row>
    <row r="29" spans="2:9" x14ac:dyDescent="0.2">
      <c r="B29" s="4" t="s">
        <v>436</v>
      </c>
      <c r="E29">
        <v>1</v>
      </c>
      <c r="F29" s="17">
        <v>790</v>
      </c>
      <c r="G29" s="18"/>
      <c r="H29" s="17">
        <f>E29*F29</f>
        <v>790</v>
      </c>
    </row>
    <row r="30" spans="2:9" x14ac:dyDescent="0.2">
      <c r="B30" s="4" t="s">
        <v>439</v>
      </c>
      <c r="E30">
        <v>1</v>
      </c>
      <c r="F30" s="17">
        <v>1640</v>
      </c>
      <c r="G30" s="18"/>
      <c r="H30" s="17">
        <v>1640</v>
      </c>
    </row>
    <row r="31" spans="2:9" x14ac:dyDescent="0.2">
      <c r="F31" s="17"/>
      <c r="G31" s="18"/>
      <c r="H31" s="17"/>
    </row>
    <row r="32" spans="2:9" x14ac:dyDescent="0.2">
      <c r="F32" s="17"/>
      <c r="G32" s="18"/>
      <c r="H32" s="17"/>
    </row>
    <row r="33" spans="2:8" x14ac:dyDescent="0.2">
      <c r="B33" t="s">
        <v>1</v>
      </c>
      <c r="F33" s="17"/>
      <c r="G33" s="18"/>
      <c r="H33" s="17"/>
    </row>
    <row r="34" spans="2:8" x14ac:dyDescent="0.2">
      <c r="B34" s="8" t="s">
        <v>21</v>
      </c>
      <c r="C34" t="s">
        <v>1</v>
      </c>
      <c r="F34" s="17"/>
      <c r="G34" s="18"/>
      <c r="H34" s="17"/>
    </row>
    <row r="35" spans="2:8" x14ac:dyDescent="0.2">
      <c r="B35" s="11" t="s">
        <v>1</v>
      </c>
      <c r="C35" s="11"/>
      <c r="D35" s="11"/>
      <c r="E35" s="11" t="s">
        <v>1</v>
      </c>
      <c r="F35" s="22" t="s">
        <v>1</v>
      </c>
      <c r="G35" s="23"/>
      <c r="H35" s="17" t="s">
        <v>1</v>
      </c>
    </row>
    <row r="36" spans="2:8" x14ac:dyDescent="0.2">
      <c r="B36" s="11"/>
      <c r="C36" s="11"/>
      <c r="D36" s="11"/>
      <c r="E36" s="11"/>
      <c r="F36" s="22"/>
      <c r="G36" s="22"/>
      <c r="H36" s="17"/>
    </row>
    <row r="37" spans="2:8" x14ac:dyDescent="0.2">
      <c r="B37" s="11"/>
      <c r="C37" s="11"/>
      <c r="D37" s="11"/>
      <c r="E37" s="11"/>
      <c r="F37" s="22"/>
      <c r="G37" s="22"/>
      <c r="H37" s="17"/>
    </row>
    <row r="38" spans="2:8" x14ac:dyDescent="0.2">
      <c r="F38" s="17"/>
      <c r="G38" s="17"/>
      <c r="H38" s="17"/>
    </row>
    <row r="39" spans="2:8" x14ac:dyDescent="0.2">
      <c r="F39" s="17"/>
      <c r="G39" s="17"/>
      <c r="H39" s="17"/>
    </row>
    <row r="40" spans="2:8" x14ac:dyDescent="0.2">
      <c r="F40" s="17"/>
      <c r="G40" s="17"/>
      <c r="H40" s="17"/>
    </row>
    <row r="41" spans="2:8" ht="15.75" x14ac:dyDescent="0.25">
      <c r="B41" s="3" t="s">
        <v>23</v>
      </c>
      <c r="C41" s="3"/>
      <c r="D41" s="3"/>
      <c r="E41" s="3"/>
      <c r="F41" s="19"/>
      <c r="G41" s="19"/>
      <c r="H41" s="19">
        <f>SUM(H28:H40)</f>
        <v>2629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37DC-DD8B-4134-8CA9-3A9FABE49D52}">
  <sheetPr codeName="Ark72">
    <pageSetUpPr fitToPage="1"/>
  </sheetPr>
  <dimension ref="B2:H31"/>
  <sheetViews>
    <sheetView workbookViewId="0">
      <selection activeCell="M25" sqref="M25"/>
    </sheetView>
  </sheetViews>
  <sheetFormatPr baseColWidth="10" defaultRowHeight="12.75" x14ac:dyDescent="0.2"/>
  <cols>
    <col min="1" max="1" width="9.42578125" customWidth="1"/>
    <col min="3" max="3" width="15.42578125" customWidth="1"/>
  </cols>
  <sheetData>
    <row r="2" spans="2:8" ht="20.25" x14ac:dyDescent="0.3">
      <c r="B2" s="10" t="s">
        <v>22</v>
      </c>
    </row>
    <row r="4" spans="2:8" x14ac:dyDescent="0.2">
      <c r="B4" s="1" t="s">
        <v>0</v>
      </c>
      <c r="C4" s="1" t="s">
        <v>151</v>
      </c>
      <c r="F4" s="1" t="s">
        <v>19</v>
      </c>
      <c r="G4" s="12" t="s">
        <v>30</v>
      </c>
      <c r="H4" s="13"/>
    </row>
    <row r="5" spans="2:8" x14ac:dyDescent="0.2">
      <c r="B5" s="1" t="s">
        <v>18</v>
      </c>
      <c r="C5" s="4">
        <v>32361</v>
      </c>
      <c r="F5" s="1"/>
      <c r="G5" s="1"/>
      <c r="H5" s="13"/>
    </row>
    <row r="6" spans="2:8" x14ac:dyDescent="0.2">
      <c r="B6" s="1"/>
      <c r="C6" s="14" t="s">
        <v>1</v>
      </c>
      <c r="F6" s="1" t="s">
        <v>10</v>
      </c>
      <c r="G6" s="15">
        <f>Felles!C2</f>
        <v>46265</v>
      </c>
      <c r="H6" s="13"/>
    </row>
    <row r="7" spans="2:8" x14ac:dyDescent="0.2">
      <c r="B7" s="1"/>
    </row>
    <row r="8" spans="2:8" x14ac:dyDescent="0.2">
      <c r="B8" s="8" t="s">
        <v>7</v>
      </c>
    </row>
    <row r="9" spans="2:8" x14ac:dyDescent="0.2">
      <c r="B9" s="1" t="s">
        <v>8</v>
      </c>
      <c r="C9" s="38" t="s">
        <v>154</v>
      </c>
      <c r="F9" s="4" t="s">
        <v>152</v>
      </c>
    </row>
    <row r="10" spans="2:8" x14ac:dyDescent="0.2">
      <c r="B10" s="1" t="s">
        <v>9</v>
      </c>
      <c r="C10" s="11" t="s">
        <v>1</v>
      </c>
      <c r="F10" t="s">
        <v>153</v>
      </c>
    </row>
    <row r="11" spans="2:8" x14ac:dyDescent="0.2">
      <c r="B11" s="1"/>
    </row>
    <row r="12" spans="2:8" x14ac:dyDescent="0.2">
      <c r="B12" s="1" t="s">
        <v>16</v>
      </c>
      <c r="C12" s="11" t="s">
        <v>29</v>
      </c>
      <c r="F12" s="4" t="s">
        <v>155</v>
      </c>
    </row>
    <row r="13" spans="2:8" x14ac:dyDescent="0.2">
      <c r="B13" s="1"/>
      <c r="F13" s="49" t="s">
        <v>174</v>
      </c>
    </row>
    <row r="14" spans="2:8" x14ac:dyDescent="0.2">
      <c r="B14" s="1"/>
      <c r="C14" s="13"/>
      <c r="E14">
        <v>2016</v>
      </c>
      <c r="F14" s="4" t="s">
        <v>217</v>
      </c>
    </row>
    <row r="15" spans="2:8" x14ac:dyDescent="0.2">
      <c r="B15" s="1" t="s">
        <v>11</v>
      </c>
      <c r="C15" s="13" t="s">
        <v>39</v>
      </c>
      <c r="E15">
        <v>2017</v>
      </c>
      <c r="F15" s="4" t="s">
        <v>218</v>
      </c>
    </row>
    <row r="16" spans="2:8" x14ac:dyDescent="0.2">
      <c r="B16" s="1" t="s">
        <v>20</v>
      </c>
      <c r="C16" s="13" t="s">
        <v>1</v>
      </c>
      <c r="E16">
        <v>2018</v>
      </c>
      <c r="F16" s="4" t="s">
        <v>215</v>
      </c>
      <c r="G16" s="4" t="s">
        <v>1</v>
      </c>
    </row>
    <row r="17" spans="2:8" x14ac:dyDescent="0.2">
      <c r="B17" s="1"/>
      <c r="C17" s="13"/>
      <c r="E17">
        <v>2019</v>
      </c>
      <c r="F17" s="4" t="s">
        <v>246</v>
      </c>
    </row>
    <row r="18" spans="2:8" x14ac:dyDescent="0.2">
      <c r="B18" s="1"/>
      <c r="C18" s="13"/>
      <c r="E18">
        <v>2020</v>
      </c>
      <c r="F18" s="4" t="s">
        <v>307</v>
      </c>
    </row>
    <row r="19" spans="2:8" x14ac:dyDescent="0.2">
      <c r="B19" s="1"/>
      <c r="C19" s="13"/>
      <c r="E19">
        <v>2021</v>
      </c>
      <c r="F19" s="4" t="s">
        <v>375</v>
      </c>
    </row>
    <row r="20" spans="2:8" x14ac:dyDescent="0.2">
      <c r="B20" s="1"/>
      <c r="C20" s="13"/>
      <c r="E20">
        <v>2022</v>
      </c>
      <c r="F20" s="4" t="s">
        <v>376</v>
      </c>
    </row>
    <row r="21" spans="2:8" x14ac:dyDescent="0.2">
      <c r="B21" s="1"/>
      <c r="C21" s="13"/>
      <c r="E21">
        <v>2023</v>
      </c>
      <c r="F21" s="4" t="s">
        <v>383</v>
      </c>
    </row>
    <row r="22" spans="2:8" x14ac:dyDescent="0.2">
      <c r="B22" s="1"/>
      <c r="C22" s="13"/>
      <c r="E22">
        <v>2024</v>
      </c>
      <c r="F22" s="4" t="s">
        <v>416</v>
      </c>
    </row>
    <row r="23" spans="2:8" x14ac:dyDescent="0.2">
      <c r="B23" s="1"/>
      <c r="C23" s="13"/>
      <c r="E23">
        <v>2025</v>
      </c>
      <c r="F23" s="4" t="s">
        <v>509</v>
      </c>
    </row>
    <row r="24" spans="2:8" x14ac:dyDescent="0.2">
      <c r="B24" s="1"/>
      <c r="C24" s="13"/>
      <c r="E24">
        <v>2026</v>
      </c>
      <c r="F24" s="108" t="s">
        <v>831</v>
      </c>
    </row>
    <row r="25" spans="2:8" x14ac:dyDescent="0.2">
      <c r="B25" s="1"/>
    </row>
    <row r="26" spans="2:8" x14ac:dyDescent="0.2">
      <c r="B26" s="8" t="s">
        <v>15</v>
      </c>
      <c r="C26" s="2"/>
      <c r="E26" s="21" t="s">
        <v>12</v>
      </c>
      <c r="F26" s="21" t="s">
        <v>13</v>
      </c>
      <c r="G26" s="8"/>
      <c r="H26" s="16" t="s">
        <v>14</v>
      </c>
    </row>
    <row r="27" spans="2:8" x14ac:dyDescent="0.2">
      <c r="H27" s="17"/>
    </row>
    <row r="28" spans="2:8" x14ac:dyDescent="0.2">
      <c r="B28" s="49" t="s">
        <v>173</v>
      </c>
      <c r="D28" t="str">
        <f>Felles!C4</f>
        <v>August</v>
      </c>
      <c r="E28">
        <v>1</v>
      </c>
      <c r="F28" s="17">
        <v>820</v>
      </c>
      <c r="G28" s="18"/>
      <c r="H28" s="17">
        <f>E28*F28</f>
        <v>820</v>
      </c>
    </row>
    <row r="29" spans="2:8" x14ac:dyDescent="0.2">
      <c r="B29" t="s">
        <v>61</v>
      </c>
      <c r="E29">
        <v>0</v>
      </c>
      <c r="F29" s="17">
        <v>42</v>
      </c>
      <c r="G29" s="18"/>
      <c r="H29" s="17">
        <f>E29*F29</f>
        <v>0</v>
      </c>
    </row>
    <row r="30" spans="2:8" x14ac:dyDescent="0.2">
      <c r="F30" s="17"/>
      <c r="G30" s="18"/>
      <c r="H30" s="17"/>
    </row>
    <row r="31" spans="2:8" x14ac:dyDescent="0.2">
      <c r="E31" s="4" t="s">
        <v>1</v>
      </c>
      <c r="H31" s="17">
        <f>SUM(H28:H30)</f>
        <v>820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B804-EE8B-488B-936C-1440109E62D1}">
  <sheetPr codeName="Ark73">
    <pageSetUpPr fitToPage="1"/>
  </sheetPr>
  <dimension ref="B2:P66"/>
  <sheetViews>
    <sheetView workbookViewId="0">
      <selection activeCell="F27" sqref="F27"/>
    </sheetView>
  </sheetViews>
  <sheetFormatPr baseColWidth="10" defaultRowHeight="12.75" x14ac:dyDescent="0.2"/>
  <sheetData>
    <row r="2" spans="2:16" ht="20.25" x14ac:dyDescent="0.3">
      <c r="B2" s="10" t="s">
        <v>22</v>
      </c>
    </row>
    <row r="4" spans="2:16" x14ac:dyDescent="0.2">
      <c r="B4" s="1" t="s">
        <v>0</v>
      </c>
      <c r="C4" s="1" t="s">
        <v>204</v>
      </c>
      <c r="F4" s="1" t="s">
        <v>19</v>
      </c>
      <c r="G4" s="12" t="s">
        <v>1</v>
      </c>
      <c r="H4" s="13"/>
    </row>
    <row r="5" spans="2:16" x14ac:dyDescent="0.2">
      <c r="B5" s="1"/>
      <c r="C5" s="4" t="s">
        <v>1</v>
      </c>
      <c r="F5" s="1"/>
      <c r="G5" s="12"/>
      <c r="H5" s="13"/>
    </row>
    <row r="6" spans="2:16" x14ac:dyDescent="0.2">
      <c r="B6" s="1"/>
      <c r="C6" s="4" t="s">
        <v>1</v>
      </c>
      <c r="F6" s="1"/>
      <c r="G6" s="12"/>
      <c r="H6" s="13"/>
    </row>
    <row r="7" spans="2:16" x14ac:dyDescent="0.2">
      <c r="B7" s="1"/>
      <c r="C7" s="4" t="s">
        <v>1</v>
      </c>
      <c r="F7" s="1"/>
      <c r="G7" s="12"/>
      <c r="H7" s="13"/>
    </row>
    <row r="8" spans="2:16" x14ac:dyDescent="0.2">
      <c r="B8" s="1"/>
      <c r="C8" s="4"/>
      <c r="F8" s="1"/>
      <c r="G8" s="12"/>
      <c r="H8" s="13"/>
    </row>
    <row r="9" spans="2:16" x14ac:dyDescent="0.2">
      <c r="B9" s="1" t="s">
        <v>18</v>
      </c>
      <c r="C9" s="4" t="s">
        <v>1</v>
      </c>
      <c r="F9" s="1"/>
      <c r="G9" s="1"/>
      <c r="H9" s="13"/>
    </row>
    <row r="10" spans="2:16" x14ac:dyDescent="0.2">
      <c r="B10" s="1"/>
      <c r="C10" s="14" t="s">
        <v>1</v>
      </c>
      <c r="F10" s="1" t="s">
        <v>10</v>
      </c>
      <c r="G10" s="15">
        <f>Felles!C2</f>
        <v>46265</v>
      </c>
      <c r="H10" s="13"/>
    </row>
    <row r="11" spans="2:16" x14ac:dyDescent="0.2">
      <c r="B11" s="1"/>
    </row>
    <row r="12" spans="2:16" x14ac:dyDescent="0.2">
      <c r="B12" s="8" t="s">
        <v>7</v>
      </c>
      <c r="F12" t="s">
        <v>1</v>
      </c>
      <c r="G12" s="40" t="s">
        <v>1</v>
      </c>
    </row>
    <row r="13" spans="2:16" x14ac:dyDescent="0.2">
      <c r="B13" s="1" t="s">
        <v>8</v>
      </c>
      <c r="C13" s="4" t="s">
        <v>1</v>
      </c>
      <c r="F13" t="s">
        <v>206</v>
      </c>
      <c r="G13" s="31">
        <v>42614</v>
      </c>
    </row>
    <row r="14" spans="2:16" x14ac:dyDescent="0.2">
      <c r="B14" s="1" t="s">
        <v>9</v>
      </c>
      <c r="C14" s="63" t="s">
        <v>207</v>
      </c>
      <c r="G14" s="4" t="s">
        <v>1</v>
      </c>
    </row>
    <row r="15" spans="2:16" x14ac:dyDescent="0.2">
      <c r="B15" s="1"/>
      <c r="F15" t="s">
        <v>37</v>
      </c>
      <c r="G15" t="s">
        <v>195</v>
      </c>
      <c r="J15" s="78" t="s">
        <v>794</v>
      </c>
      <c r="P15" s="176"/>
    </row>
    <row r="16" spans="2:16" x14ac:dyDescent="0.2">
      <c r="B16" s="1" t="s">
        <v>16</v>
      </c>
      <c r="C16" s="11" t="s">
        <v>29</v>
      </c>
      <c r="P16" s="176"/>
    </row>
    <row r="17" spans="2:16" ht="15" x14ac:dyDescent="0.25">
      <c r="B17" s="1"/>
      <c r="F17" s="49" t="s">
        <v>377</v>
      </c>
      <c r="K17" s="86"/>
      <c r="L17" s="86"/>
      <c r="N17" s="86"/>
      <c r="O17" s="162">
        <v>2026</v>
      </c>
      <c r="P17" s="176"/>
    </row>
    <row r="18" spans="2:16" ht="15" x14ac:dyDescent="0.25">
      <c r="B18" s="1"/>
      <c r="C18" s="13"/>
      <c r="J18" s="163" t="s">
        <v>785</v>
      </c>
      <c r="K18" s="163" t="s">
        <v>786</v>
      </c>
      <c r="L18" s="163"/>
      <c r="M18" s="164"/>
      <c r="N18" s="165"/>
      <c r="O18" s="166" t="s">
        <v>787</v>
      </c>
      <c r="P18" s="176"/>
    </row>
    <row r="19" spans="2:16" ht="15" x14ac:dyDescent="0.25">
      <c r="B19" s="1" t="s">
        <v>11</v>
      </c>
      <c r="C19" s="13" t="s">
        <v>39</v>
      </c>
      <c r="J19" s="163"/>
      <c r="K19" s="163"/>
      <c r="L19" s="163"/>
      <c r="M19" s="164"/>
      <c r="N19" s="165"/>
      <c r="O19" s="166"/>
      <c r="P19" s="176"/>
    </row>
    <row r="20" spans="2:16" ht="15" x14ac:dyDescent="0.25">
      <c r="B20" s="1" t="s">
        <v>20</v>
      </c>
      <c r="C20" s="13" t="s">
        <v>1</v>
      </c>
      <c r="J20" s="86">
        <v>1</v>
      </c>
      <c r="K20" s="86">
        <v>99</v>
      </c>
      <c r="L20" s="86"/>
      <c r="N20" s="167"/>
      <c r="O20" s="168">
        <v>2960</v>
      </c>
      <c r="P20" s="176"/>
    </row>
    <row r="21" spans="2:16" ht="15" x14ac:dyDescent="0.25">
      <c r="B21" s="1"/>
      <c r="C21" s="13"/>
      <c r="J21">
        <v>100</v>
      </c>
      <c r="K21">
        <v>149</v>
      </c>
      <c r="N21" s="167"/>
      <c r="O21" s="168">
        <v>3580</v>
      </c>
      <c r="P21" s="176"/>
    </row>
    <row r="22" spans="2:16" ht="15" x14ac:dyDescent="0.25">
      <c r="B22" s="1"/>
      <c r="C22" s="13"/>
      <c r="J22">
        <v>150</v>
      </c>
      <c r="K22">
        <v>199</v>
      </c>
      <c r="N22" s="167"/>
      <c r="O22" s="168">
        <v>4090</v>
      </c>
      <c r="P22" s="176"/>
    </row>
    <row r="23" spans="2:16" ht="15" x14ac:dyDescent="0.25">
      <c r="B23" s="1"/>
      <c r="J23">
        <v>200</v>
      </c>
      <c r="K23">
        <v>249</v>
      </c>
      <c r="N23" s="167"/>
      <c r="O23" s="168">
        <v>4670</v>
      </c>
      <c r="P23" s="176"/>
    </row>
    <row r="24" spans="2:16" ht="15" x14ac:dyDescent="0.25">
      <c r="B24" s="8" t="s">
        <v>15</v>
      </c>
      <c r="C24" s="2"/>
      <c r="E24" s="21" t="s">
        <v>12</v>
      </c>
      <c r="F24" s="21" t="s">
        <v>13</v>
      </c>
      <c r="G24" s="8"/>
      <c r="H24" s="16" t="s">
        <v>14</v>
      </c>
      <c r="J24">
        <v>250</v>
      </c>
      <c r="K24">
        <v>299</v>
      </c>
      <c r="L24" s="86"/>
      <c r="N24" s="167"/>
      <c r="O24" s="168">
        <v>5760</v>
      </c>
      <c r="P24" s="176"/>
    </row>
    <row r="25" spans="2:16" ht="15" x14ac:dyDescent="0.25">
      <c r="H25" s="17"/>
      <c r="J25">
        <v>300</v>
      </c>
      <c r="K25">
        <v>349</v>
      </c>
      <c r="N25" s="167"/>
      <c r="O25" s="168">
        <v>6830</v>
      </c>
      <c r="P25" s="176"/>
    </row>
    <row r="26" spans="2:16" ht="15" x14ac:dyDescent="0.25">
      <c r="B26" s="49" t="s">
        <v>205</v>
      </c>
      <c r="D26" t="str">
        <f>Felles!C4</f>
        <v>August</v>
      </c>
      <c r="E26">
        <v>1</v>
      </c>
      <c r="F26" s="17">
        <v>2960</v>
      </c>
      <c r="G26" s="18"/>
      <c r="H26" s="17">
        <f>E26*F26</f>
        <v>2960</v>
      </c>
      <c r="J26">
        <v>350</v>
      </c>
      <c r="K26">
        <v>399</v>
      </c>
      <c r="N26" s="167"/>
      <c r="O26" s="168">
        <v>7920</v>
      </c>
      <c r="P26" s="176"/>
    </row>
    <row r="27" spans="2:16" ht="15" x14ac:dyDescent="0.25">
      <c r="B27" s="40"/>
      <c r="F27" s="17"/>
      <c r="G27" s="18"/>
      <c r="H27" s="17"/>
      <c r="J27">
        <v>400</v>
      </c>
      <c r="K27">
        <v>449</v>
      </c>
      <c r="N27" s="167"/>
      <c r="O27" s="168">
        <v>8980</v>
      </c>
      <c r="P27" s="176"/>
    </row>
    <row r="28" spans="2:16" ht="15" x14ac:dyDescent="0.25">
      <c r="B28" s="1" t="s">
        <v>325</v>
      </c>
      <c r="C28" t="s">
        <v>564</v>
      </c>
      <c r="F28" s="17"/>
      <c r="G28" s="18"/>
      <c r="H28" s="17"/>
      <c r="J28">
        <v>450</v>
      </c>
      <c r="K28">
        <v>499</v>
      </c>
      <c r="N28" s="167"/>
      <c r="O28" s="168">
        <v>10080</v>
      </c>
      <c r="P28" s="176"/>
    </row>
    <row r="29" spans="2:16" ht="15" x14ac:dyDescent="0.25">
      <c r="F29" s="17"/>
      <c r="G29" s="18"/>
      <c r="H29" s="17"/>
      <c r="J29">
        <v>500</v>
      </c>
      <c r="K29">
        <v>549</v>
      </c>
      <c r="N29" s="167"/>
      <c r="O29" s="168">
        <v>11150</v>
      </c>
      <c r="P29" s="176"/>
    </row>
    <row r="30" spans="2:16" ht="15" x14ac:dyDescent="0.25">
      <c r="F30" s="17"/>
      <c r="G30" s="18"/>
      <c r="H30" s="17"/>
      <c r="J30">
        <v>550</v>
      </c>
      <c r="K30">
        <v>599</v>
      </c>
      <c r="N30" s="167"/>
      <c r="O30" s="168">
        <v>12200</v>
      </c>
      <c r="P30" s="176"/>
    </row>
    <row r="31" spans="2:16" ht="15" x14ac:dyDescent="0.25">
      <c r="B31" t="s">
        <v>1</v>
      </c>
      <c r="F31" s="17"/>
      <c r="G31" s="18"/>
      <c r="H31" s="17"/>
      <c r="J31">
        <v>600</v>
      </c>
      <c r="K31">
        <v>649</v>
      </c>
      <c r="N31" s="167"/>
      <c r="O31" s="168">
        <v>13260</v>
      </c>
      <c r="P31" s="176"/>
    </row>
    <row r="32" spans="2:16" ht="15" x14ac:dyDescent="0.25">
      <c r="B32" s="8" t="s">
        <v>21</v>
      </c>
      <c r="C32" t="s">
        <v>1</v>
      </c>
      <c r="F32" s="17"/>
      <c r="G32" s="18"/>
      <c r="H32" s="17"/>
      <c r="J32">
        <v>650</v>
      </c>
      <c r="K32">
        <v>699</v>
      </c>
      <c r="N32" s="167"/>
      <c r="O32" s="168">
        <v>14360</v>
      </c>
      <c r="P32" s="176"/>
    </row>
    <row r="33" spans="2:16" ht="15" x14ac:dyDescent="0.25">
      <c r="B33" s="11" t="s">
        <v>1</v>
      </c>
      <c r="C33" s="11"/>
      <c r="D33" s="11"/>
      <c r="E33" s="11" t="s">
        <v>1</v>
      </c>
      <c r="F33" s="22" t="s">
        <v>1</v>
      </c>
      <c r="G33" s="23"/>
      <c r="H33" s="17" t="s">
        <v>1</v>
      </c>
      <c r="J33">
        <v>700</v>
      </c>
      <c r="K33">
        <v>749</v>
      </c>
      <c r="N33" s="167"/>
      <c r="O33" s="168">
        <v>15430</v>
      </c>
      <c r="P33" s="176"/>
    </row>
    <row r="34" spans="2:16" ht="15" x14ac:dyDescent="0.25">
      <c r="B34" s="11"/>
      <c r="C34" s="11"/>
      <c r="D34" s="11"/>
      <c r="E34" s="11"/>
      <c r="F34" s="22"/>
      <c r="G34" s="22"/>
      <c r="H34" s="17"/>
      <c r="J34">
        <v>750</v>
      </c>
      <c r="K34">
        <v>799</v>
      </c>
      <c r="N34" s="167"/>
      <c r="O34" s="168">
        <v>16530</v>
      </c>
      <c r="P34" s="176"/>
    </row>
    <row r="35" spans="2:16" ht="15" x14ac:dyDescent="0.25">
      <c r="B35" s="11"/>
      <c r="C35" s="11"/>
      <c r="D35" s="11"/>
      <c r="E35" s="11"/>
      <c r="F35" s="22"/>
      <c r="G35" s="22"/>
      <c r="H35" s="17"/>
      <c r="J35">
        <v>800</v>
      </c>
      <c r="K35">
        <v>849</v>
      </c>
      <c r="N35" s="167"/>
      <c r="O35" s="168">
        <v>17590</v>
      </c>
      <c r="P35" s="176"/>
    </row>
    <row r="36" spans="2:16" ht="15" x14ac:dyDescent="0.25">
      <c r="F36" s="17"/>
      <c r="G36" s="17"/>
      <c r="H36" s="17"/>
      <c r="J36">
        <v>850</v>
      </c>
      <c r="K36">
        <v>899</v>
      </c>
      <c r="N36" s="167"/>
      <c r="O36" s="168">
        <v>18680</v>
      </c>
      <c r="P36" s="176"/>
    </row>
    <row r="37" spans="2:16" ht="15" x14ac:dyDescent="0.25">
      <c r="F37" s="17"/>
      <c r="G37" s="17"/>
      <c r="H37" s="17"/>
      <c r="J37">
        <v>900</v>
      </c>
      <c r="K37">
        <v>949</v>
      </c>
      <c r="N37" s="167"/>
      <c r="O37" s="168">
        <v>19750</v>
      </c>
      <c r="P37" s="176"/>
    </row>
    <row r="38" spans="2:16" ht="15" x14ac:dyDescent="0.25">
      <c r="F38" s="17"/>
      <c r="G38" s="17"/>
      <c r="H38" s="17"/>
      <c r="J38">
        <v>950</v>
      </c>
      <c r="K38">
        <v>999</v>
      </c>
      <c r="N38" s="167"/>
      <c r="O38" s="168">
        <v>20820</v>
      </c>
      <c r="P38" s="176"/>
    </row>
    <row r="39" spans="2:16" ht="15.75" x14ac:dyDescent="0.25">
      <c r="B39" s="3" t="s">
        <v>23</v>
      </c>
      <c r="C39" s="3"/>
      <c r="D39" s="3"/>
      <c r="E39" s="3"/>
      <c r="F39" s="19"/>
      <c r="G39" s="19"/>
      <c r="H39" s="19">
        <f>SUM(H26:H38)</f>
        <v>2960</v>
      </c>
      <c r="J39">
        <v>1000</v>
      </c>
      <c r="K39">
        <v>1099</v>
      </c>
      <c r="N39" s="167"/>
      <c r="O39" s="168">
        <v>23000</v>
      </c>
      <c r="P39" s="176"/>
    </row>
    <row r="40" spans="2:16" ht="15" x14ac:dyDescent="0.25">
      <c r="J40">
        <v>1100</v>
      </c>
      <c r="K40">
        <v>1199</v>
      </c>
      <c r="N40" s="167"/>
      <c r="O40" s="168">
        <v>24100</v>
      </c>
      <c r="P40" s="176"/>
    </row>
    <row r="41" spans="2:16" ht="15" x14ac:dyDescent="0.25">
      <c r="C41" s="86"/>
      <c r="D41" s="86"/>
      <c r="E41" s="86"/>
      <c r="F41" s="86"/>
      <c r="G41" s="86"/>
      <c r="H41" s="86"/>
      <c r="J41">
        <v>1200</v>
      </c>
      <c r="K41">
        <v>1299</v>
      </c>
      <c r="N41" s="167"/>
      <c r="O41" s="168">
        <v>26260</v>
      </c>
      <c r="P41" s="176"/>
    </row>
    <row r="42" spans="2:16" ht="15" x14ac:dyDescent="0.25">
      <c r="J42">
        <v>1300</v>
      </c>
      <c r="K42">
        <v>1399</v>
      </c>
      <c r="N42" s="167"/>
      <c r="O42" s="168">
        <v>28400</v>
      </c>
      <c r="P42" s="176"/>
    </row>
    <row r="43" spans="2:16" ht="15" x14ac:dyDescent="0.25">
      <c r="J43">
        <v>1400</v>
      </c>
      <c r="K43">
        <v>1499</v>
      </c>
      <c r="N43" s="167"/>
      <c r="O43" s="168">
        <v>30240</v>
      </c>
      <c r="P43" s="176"/>
    </row>
    <row r="44" spans="2:16" ht="15" x14ac:dyDescent="0.25">
      <c r="J44">
        <v>1500</v>
      </c>
      <c r="K44">
        <v>1599</v>
      </c>
      <c r="N44" s="167"/>
      <c r="O44" s="168">
        <v>32710</v>
      </c>
      <c r="P44" s="176"/>
    </row>
    <row r="45" spans="2:16" ht="15" x14ac:dyDescent="0.25">
      <c r="J45">
        <v>1600</v>
      </c>
      <c r="K45">
        <v>1699</v>
      </c>
      <c r="N45" s="167"/>
      <c r="O45" s="168">
        <v>34890</v>
      </c>
      <c r="P45" s="176"/>
    </row>
    <row r="46" spans="2:16" ht="15" x14ac:dyDescent="0.25">
      <c r="C46" s="30"/>
      <c r="D46" s="4"/>
      <c r="E46" s="4"/>
      <c r="F46" s="4"/>
      <c r="G46" s="4"/>
      <c r="H46" s="4"/>
      <c r="J46">
        <v>1700</v>
      </c>
      <c r="K46">
        <v>1799</v>
      </c>
      <c r="N46" s="167"/>
      <c r="O46" s="168">
        <v>37060</v>
      </c>
      <c r="P46" s="176"/>
    </row>
    <row r="47" spans="2:16" ht="15" x14ac:dyDescent="0.25">
      <c r="J47">
        <v>1800</v>
      </c>
      <c r="K47">
        <v>1899</v>
      </c>
      <c r="N47" s="167"/>
      <c r="O47" s="168">
        <v>39200</v>
      </c>
      <c r="P47" s="176"/>
    </row>
    <row r="48" spans="2:16" ht="15" x14ac:dyDescent="0.25">
      <c r="J48">
        <v>1900</v>
      </c>
      <c r="K48">
        <v>1999</v>
      </c>
      <c r="N48" s="167"/>
      <c r="O48" s="168">
        <v>41380</v>
      </c>
      <c r="P48" s="176"/>
    </row>
    <row r="49" spans="3:16" ht="15" x14ac:dyDescent="0.25">
      <c r="J49">
        <v>2000</v>
      </c>
      <c r="K49">
        <v>2099</v>
      </c>
      <c r="N49" s="167"/>
      <c r="O49" s="168">
        <v>43500</v>
      </c>
      <c r="P49" s="176"/>
    </row>
    <row r="50" spans="3:16" ht="15" x14ac:dyDescent="0.25">
      <c r="J50">
        <v>2100</v>
      </c>
      <c r="K50">
        <v>2199</v>
      </c>
      <c r="N50" s="167"/>
      <c r="O50" s="168">
        <v>45650</v>
      </c>
      <c r="P50" s="176"/>
    </row>
    <row r="51" spans="3:16" ht="15" x14ac:dyDescent="0.25">
      <c r="C51" s="30"/>
      <c r="D51" s="30"/>
      <c r="E51" s="30"/>
      <c r="F51" s="30"/>
      <c r="G51" s="30"/>
      <c r="H51" s="30"/>
      <c r="J51">
        <v>2200</v>
      </c>
      <c r="K51">
        <v>2299</v>
      </c>
      <c r="N51" s="167"/>
      <c r="O51" s="168">
        <v>47850</v>
      </c>
      <c r="P51" s="176"/>
    </row>
    <row r="52" spans="3:16" ht="15" x14ac:dyDescent="0.25">
      <c r="J52">
        <v>2300</v>
      </c>
      <c r="K52">
        <v>2399</v>
      </c>
      <c r="N52" s="167"/>
      <c r="O52" s="168">
        <v>49980</v>
      </c>
      <c r="P52" s="176"/>
    </row>
    <row r="53" spans="3:16" ht="15" x14ac:dyDescent="0.25">
      <c r="J53">
        <v>2400</v>
      </c>
      <c r="K53">
        <v>2499</v>
      </c>
      <c r="N53" s="167"/>
      <c r="O53" s="168">
        <v>52160</v>
      </c>
      <c r="P53" s="176"/>
    </row>
    <row r="54" spans="3:16" x14ac:dyDescent="0.2">
      <c r="J54" s="177" t="s">
        <v>1</v>
      </c>
      <c r="K54" s="177"/>
      <c r="L54" s="177"/>
      <c r="M54" s="177"/>
      <c r="N54" s="177"/>
      <c r="O54" s="177"/>
      <c r="P54" s="178"/>
    </row>
    <row r="56" spans="3:16" x14ac:dyDescent="0.2">
      <c r="C56" s="30"/>
      <c r="D56" s="30"/>
      <c r="E56" s="30"/>
      <c r="F56" s="30"/>
      <c r="G56" s="30"/>
      <c r="H56" s="30"/>
    </row>
    <row r="61" spans="3:16" x14ac:dyDescent="0.2">
      <c r="C61" s="30"/>
      <c r="D61" s="30"/>
      <c r="E61" s="30"/>
      <c r="F61" s="30"/>
      <c r="G61" s="30"/>
      <c r="H61" s="30"/>
    </row>
    <row r="66" spans="3:8" x14ac:dyDescent="0.2">
      <c r="C66" s="30"/>
      <c r="D66" s="30"/>
      <c r="E66" s="30"/>
      <c r="F66" s="30"/>
      <c r="G66" s="30"/>
      <c r="H66" s="30"/>
    </row>
  </sheetData>
  <phoneticPr fontId="28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257a3a-902e-4cd6-835a-24a0a2cc3549">
      <Terms xmlns="http://schemas.microsoft.com/office/infopath/2007/PartnerControls"/>
    </lcf76f155ced4ddcb4097134ff3c332f>
    <TaxCatchAll xmlns="4be5c560-55dd-4976-9967-c4e49bee7f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E4665F0A1FE740A8B78A90E5340A22" ma:contentTypeVersion="13" ma:contentTypeDescription="Opprett et nytt dokument." ma:contentTypeScope="" ma:versionID="cded2416b003ac21d17fa3e056ec2352">
  <xsd:schema xmlns:xsd="http://www.w3.org/2001/XMLSchema" xmlns:xs="http://www.w3.org/2001/XMLSchema" xmlns:p="http://schemas.microsoft.com/office/2006/metadata/properties" xmlns:ns2="e7257a3a-902e-4cd6-835a-24a0a2cc3549" xmlns:ns3="4be5c560-55dd-4976-9967-c4e49bee7f5f" targetNamespace="http://schemas.microsoft.com/office/2006/metadata/properties" ma:root="true" ma:fieldsID="db2095e8c41739d325dff32159e2b4c3" ns2:_="" ns3:_="">
    <xsd:import namespace="e7257a3a-902e-4cd6-835a-24a0a2cc3549"/>
    <xsd:import namespace="4be5c560-55dd-4976-9967-c4e49bee7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57a3a-902e-4cd6-835a-24a0a2cc3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emerkelapper" ma:readOnly="false" ma:fieldId="{5cf76f15-5ced-4ddc-b409-7134ff3c332f}" ma:taxonomyMulti="true" ma:sspId="c74fb7ff-ca36-450a-9370-0611a9715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5c560-55dd-4976-9967-c4e49bee7f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Global taksonomikolonne" ma:hidden="true" ma:list="{4e09ab01-57fd-434d-aa0c-561bc184a0c3}" ma:internalName="TaxCatchAll" ma:showField="CatchAllData" ma:web="4be5c560-55dd-4976-9967-c4e49bee7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9D7715-DA63-4346-B5E6-78518BDB88B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92FD805-A158-455C-B999-EEB5BB0DBE7E}">
  <ds:schemaRefs>
    <ds:schemaRef ds:uri="http://schemas.microsoft.com/office/2006/metadata/properties"/>
    <ds:schemaRef ds:uri="http://schemas.microsoft.com/office/infopath/2007/PartnerControls"/>
    <ds:schemaRef ds:uri="e7257a3a-902e-4cd6-835a-24a0a2cc3549"/>
    <ds:schemaRef ds:uri="4be5c560-55dd-4976-9967-c4e49bee7f5f"/>
  </ds:schemaRefs>
</ds:datastoreItem>
</file>

<file path=customXml/itemProps3.xml><?xml version="1.0" encoding="utf-8"?>
<ds:datastoreItem xmlns:ds="http://schemas.openxmlformats.org/officeDocument/2006/customXml" ds:itemID="{338F3F0B-6B2F-48C2-87FF-E9717C087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257a3a-902e-4cd6-835a-24a0a2cc3549"/>
    <ds:schemaRef ds:uri="4be5c560-55dd-4976-9967-c4e49bee7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688DFDE-B062-4493-AC37-47715C2208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69</vt:i4>
      </vt:variant>
      <vt:variant>
        <vt:lpstr>Navngitte områder</vt:lpstr>
      </vt:variant>
      <vt:variant>
        <vt:i4>3</vt:i4>
      </vt:variant>
    </vt:vector>
  </HeadingPairs>
  <TitlesOfParts>
    <vt:vector size="72" baseType="lpstr">
      <vt:lpstr>Termintabell</vt:lpstr>
      <vt:lpstr>Felles</vt:lpstr>
      <vt:lpstr>ABC Hus</vt:lpstr>
      <vt:lpstr>AdvHenjum</vt:lpstr>
      <vt:lpstr>Adv Olga Halvorsen</vt:lpstr>
      <vt:lpstr>Adv Sandra</vt:lpstr>
      <vt:lpstr>Ahlberg data</vt:lpstr>
      <vt:lpstr>Alivia Sagt opp</vt:lpstr>
      <vt:lpstr>Allskog</vt:lpstr>
      <vt:lpstr>Meavia - Bekkestuapsyk</vt:lpstr>
      <vt:lpstr>Bodyfly</vt:lpstr>
      <vt:lpstr>Caverion</vt:lpstr>
      <vt:lpstr>Calpro</vt:lpstr>
      <vt:lpstr>Constuction Equipment Group</vt:lpstr>
      <vt:lpstr>Coromatic</vt:lpstr>
      <vt:lpstr>Dal Media</vt:lpstr>
      <vt:lpstr>Akkodis - Datarespons</vt:lpstr>
      <vt:lpstr>Dental Sør</vt:lpstr>
      <vt:lpstr>DomingoSagt opp</vt:lpstr>
      <vt:lpstr>EFAS</vt:lpstr>
      <vt:lpstr>Element</vt:lpstr>
      <vt:lpstr>Element Log Sweden</vt:lpstr>
      <vt:lpstr>ENRX</vt:lpstr>
      <vt:lpstr>Enova</vt:lpstr>
      <vt:lpstr>Festetrafikk</vt:lpstr>
      <vt:lpstr>FirstMovergroup-Totalreform</vt:lpstr>
      <vt:lpstr>Frano</vt:lpstr>
      <vt:lpstr>Foma</vt:lpstr>
      <vt:lpstr>Funksjonell</vt:lpstr>
      <vt:lpstr>Sagt opp Funkweb</vt:lpstr>
      <vt:lpstr>Fysiodirekte</vt:lpstr>
      <vt:lpstr>Gass-Pust</vt:lpstr>
      <vt:lpstr>Gulvfag</vt:lpstr>
      <vt:lpstr>Gunvaldsen</vt:lpstr>
      <vt:lpstr>IKT-Nor</vt:lpstr>
      <vt:lpstr>Invicta</vt:lpstr>
      <vt:lpstr>JCDec</vt:lpstr>
      <vt:lpstr>Kardex</vt:lpstr>
      <vt:lpstr>IKM KarstenM</vt:lpstr>
      <vt:lpstr>Klinikk ØNH</vt:lpstr>
      <vt:lpstr>Kontroll elektro</vt:lpstr>
      <vt:lpstr>KTV</vt:lpstr>
      <vt:lpstr>Nemus Vestfold</vt:lpstr>
      <vt:lpstr>Noah</vt:lpstr>
      <vt:lpstr>Norenco</vt:lpstr>
      <vt:lpstr>NorskMedisinskSyklotron</vt:lpstr>
      <vt:lpstr>Nyd</vt:lpstr>
      <vt:lpstr>PCVennen</vt:lpstr>
      <vt:lpstr>Philips</vt:lpstr>
      <vt:lpstr>Per Tverfjell Bilomsetning AS</vt:lpstr>
      <vt:lpstr>Positiv trafikkskole</vt:lpstr>
      <vt:lpstr>Promon</vt:lpstr>
      <vt:lpstr>Prevas</vt:lpstr>
      <vt:lpstr>Rambøll</vt:lpstr>
      <vt:lpstr>Safari</vt:lpstr>
      <vt:lpstr>SafeNTouchcom</vt:lpstr>
      <vt:lpstr>Senterforstress</vt:lpstr>
      <vt:lpstr>Spraying-syst</vt:lpstr>
      <vt:lpstr>Standard Norge</vt:lpstr>
      <vt:lpstr>TD Synnex</vt:lpstr>
      <vt:lpstr>Teva-Actavis</vt:lpstr>
      <vt:lpstr>Tropisk Design</vt:lpstr>
      <vt:lpstr>Ultralydklinikken</vt:lpstr>
      <vt:lpstr>Veidekke industri, Møre</vt:lpstr>
      <vt:lpstr>Veidekke Industri Sogn</vt:lpstr>
      <vt:lpstr>Vera tank</vt:lpstr>
      <vt:lpstr>Vika fys</vt:lpstr>
      <vt:lpstr>Zones</vt:lpstr>
      <vt:lpstr>2clean</vt:lpstr>
      <vt:lpstr>Foma!Utskriftsområde</vt:lpstr>
      <vt:lpstr>'Gass-Pust'!Utskriftsområde</vt:lpstr>
      <vt:lpstr>'Sagt opp Funkweb'!Utskriftsområde</vt:lpstr>
    </vt:vector>
  </TitlesOfParts>
  <Company>IQ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mpeadm</dc:creator>
  <cp:lastModifiedBy>Kundeservice We4you</cp:lastModifiedBy>
  <cp:lastPrinted>2025-06-25T13:21:17Z</cp:lastPrinted>
  <dcterms:created xsi:type="dcterms:W3CDTF">2007-04-30T06:42:01Z</dcterms:created>
  <dcterms:modified xsi:type="dcterms:W3CDTF">2026-09-01T13:58:17Z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0x010100E7E4665F0A1FE740A8B78A90E5340A22</vt:lpwstr>
  </property>
</Properties>
</file>