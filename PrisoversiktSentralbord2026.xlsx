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soversikt juni 2026" sheetId="1" state="visible" r:id="rId3"/>
    <sheet name="Standard 0-99" sheetId="2" state="visible" r:id="rId4"/>
    <sheet name="Fastpris+stykkpris (individuell" sheetId="3" state="visible" r:id="rId5"/>
    <sheet name="CEG-tabell" sheetId="4" state="visible" r:id="rId6"/>
    <sheet name="Caverion" sheetId="5" state="visible" r:id="rId7"/>
    <sheet name="Fysikalsk institutt" sheetId="6" state="visible" r:id="rId8"/>
    <sheet name="Promon tabell" sheetId="7" state="visible" r:id="rId9"/>
    <sheet name="ENRX tabell" sheetId="8" state="visible" r:id="rId10"/>
    <sheet name="Rambøll tabell" sheetId="9" state="visible" r:id="rId11"/>
    <sheet name="Kvartalsfakturering" sheetId="10" state="visible" r:id="rId12"/>
    <sheet name="Tabeller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Geir Bodin:
Inkl 200 samtaler. Eventuelle overskytende faktures etterskuddsvis på neste kvartal kr 36 pr samtale.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54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<sst xmlns="http://schemas.openxmlformats.org/spreadsheetml/2006/main" count="815" uniqueCount="466">
  <si>
    <t xml:space="preserve">We4you AS – Prisoversikt Sentralbord 2026  |  August 2026  |  Beregnet vs Faktisk (Tripletex)</t>
  </si>
  <si>
    <t xml:space="preserve">#</t>
  </si>
  <si>
    <t xml:space="preserve">Kunde</t>
  </si>
  <si>
    <t xml:space="preserve">Status</t>
  </si>
  <si>
    <t xml:space="preserve">Prismodell</t>
  </si>
  <si>
    <t xml:space="preserve">Pris 2026</t>
  </si>
  <si>
    <t xml:space="preserve">Inkludert</t>
  </si>
  <si>
    <t xml:space="preserve">Merknader / pristrapp</t>
  </si>
  <si>
    <t xml:space="preserve">Besvarte anrop</t>
  </si>
  <si>
    <t xml:space="preserve">Beregnet pris</t>
  </si>
  <si>
    <t xml:space="preserve">Faktisk august(Tripletex ekskl.)</t>
  </si>
  <si>
    <t xml:space="preserve">Avvik (J−I)</t>
  </si>
  <si>
    <t xml:space="preserve">STANDARDTABELL 0-99  (inkl. fast pris-varianter)</t>
  </si>
  <si>
    <t xml:space="preserve">2Clean AS</t>
  </si>
  <si>
    <t xml:space="preserve">Aktiv</t>
  </si>
  <si>
    <t xml:space="preserve">Standardtabell 0-99</t>
  </si>
  <si>
    <t xml:space="preserve">kr 2 960 / mnd</t>
  </si>
  <si>
    <t xml:space="preserve">0–99 samtaler</t>
  </si>
  <si>
    <t xml:space="preserve">Ekstra engangsfaktura juni: kr 1 070 (e-postmigrering til Nordn) – ikke sentralbord</t>
  </si>
  <si>
    <t xml:space="preserve">Advokat Olga Halvorsen AS</t>
  </si>
  <si>
    <t xml:space="preserve">Advokat Sandra Latotinaite</t>
  </si>
  <si>
    <t xml:space="preserve">Akkodis – Data Respons</t>
  </si>
  <si>
    <t xml:space="preserve">Tidl. Datarespons</t>
  </si>
  <si>
    <t xml:space="preserve">Bodyfly Frogner AS</t>
  </si>
  <si>
    <t xml:space="preserve">Fast pris</t>
  </si>
  <si>
    <t xml:space="preserve">kr 1 600 / mnd inkl. 99 anrop</t>
  </si>
  <si>
    <t xml:space="preserve">0–99 anrop</t>
  </si>
  <si>
    <t xml:space="preserve">Fast pris 1 600 – IKKE standardtabell 2 960</t>
  </si>
  <si>
    <t xml:space="preserve">Calpro AS</t>
  </si>
  <si>
    <t xml:space="preserve">Coromatic AS</t>
  </si>
  <si>
    <t xml:space="preserve">Coromatic skal følgestandard tabell 0-99</t>
  </si>
  <si>
    <t xml:space="preserve">Dal Media (Digital Media Group AS)</t>
  </si>
  <si>
    <t xml:space="preserve">Standardtabell 0-99 + faste tillegg 199x3=kr 597</t>
  </si>
  <si>
    <t xml:space="preserve">Standardtabell (hoved-kø)Tell med samlet antall besvart samtaler for Dal media(Digital media group AS) + 3 selskaper på statistikken: TDC Caravan + Saltando + Victoria + + 3 × kr 199 tillegg</t>
  </si>
  <si>
    <t xml:space="preserve">Se anrop</t>
  </si>
  <si>
    <t xml:space="preserve">Fakturer samlet antall besvart samtaler for 3 selskaper på statistikken: TDC Caravan + Saltando + Victoria + (3×199kr). Tripletex-navn: Digital Media Group AS</t>
  </si>
  <si>
    <t xml:space="preserve">Element Logic AS</t>
  </si>
  <si>
    <t xml:space="preserve">Kvartalsvis (standardtabell)</t>
  </si>
  <si>
    <t xml:space="preserve">kr 8 880 / kvartal</t>
  </si>
  <si>
    <t xml:space="preserve">Kvartalsvis forskudd</t>
  </si>
  <si>
    <t xml:space="preserve">April–juni betalt april – neste faktura juli</t>
  </si>
  <si>
    <t xml:space="preserve">Element Logic Sweden AB</t>
  </si>
  <si>
    <t xml:space="preserve">Q3-forskudd betalt juni</t>
  </si>
  <si>
    <t xml:space="preserve">First Mover Group Norge AS / Relokator</t>
  </si>
  <si>
    <t xml:space="preserve">Standardtabell 0-99 + tillegg</t>
  </si>
  <si>
    <t xml:space="preserve">kr 2 960 / mnd + tillegg</t>
  </si>
  <si>
    <t xml:space="preserve">Foma Norge AS</t>
  </si>
  <si>
    <t xml:space="preserve">Standardtabell + grunnpris kr 199</t>
  </si>
  <si>
    <t xml:space="preserve">Standardtabell + kr 199 grunnpris / mnd</t>
  </si>
  <si>
    <t xml:space="preserve">0–99+ samtaler</t>
  </si>
  <si>
    <t xml:space="preserve">Gass og Pusteservice AS</t>
  </si>
  <si>
    <t xml:space="preserve">Standardtabell + utvidet åpningstid</t>
  </si>
  <si>
    <t xml:space="preserve">kr 2 960 / mnd + kr 360 utvidet åpningstid</t>
  </si>
  <si>
    <t xml:space="preserve">Tillegg utvidet åpningstid: kr 360/mnd</t>
  </si>
  <si>
    <t xml:space="preserve">Kardex Norge AS</t>
  </si>
  <si>
    <t xml:space="preserve">KTV Group AS</t>
  </si>
  <si>
    <t xml:space="preserve">Standardtabell 0-99 (10 % rabatt)</t>
  </si>
  <si>
    <t xml:space="preserve">kr 2 664 / mnd (2 960 med 10 % rabatt)</t>
  </si>
  <si>
    <t xml:space="preserve">Fast 10 % rabatt på standardtabell</t>
  </si>
  <si>
    <t xml:space="preserve">NOAH AS</t>
  </si>
  <si>
    <t xml:space="preserve">Norenco Norge AS</t>
  </si>
  <si>
    <t xml:space="preserve">Standardtabell + tillegg linje</t>
  </si>
  <si>
    <t xml:space="preserve">Standardtabell + kr 199 tillegg</t>
  </si>
  <si>
    <t xml:space="preserve">Senter for stress og Traumepsykologi AS</t>
  </si>
  <si>
    <t xml:space="preserve">Spraying Systems Sverige AB</t>
  </si>
  <si>
    <t xml:space="preserve">Standard Norge AS</t>
  </si>
  <si>
    <t xml:space="preserve">TD Synnex Norway AS</t>
  </si>
  <si>
    <t xml:space="preserve">Teva AS (Teva-Actavis)</t>
  </si>
  <si>
    <t xml:space="preserve">Standardtabell + kr 199 grunnpris</t>
  </si>
  <si>
    <t xml:space="preserve">Ultralydklinikken AS</t>
  </si>
  <si>
    <t xml:space="preserve">Veidekke Industri AS – Møre</t>
  </si>
  <si>
    <t xml:space="preserve">Kø 3792 · Kunde nr 32722</t>
  </si>
  <si>
    <t xml:space="preserve">Veidekke Industri AS – Sogn(60309)</t>
  </si>
  <si>
    <t xml:space="preserve">Kø 4509 · Oppstart mars 2026. Kunde 33197</t>
  </si>
  <si>
    <t xml:space="preserve">FAST PRIS + STYKKPRIS  (individuelle avtaler)</t>
  </si>
  <si>
    <t xml:space="preserve">Advokat Henjum AS</t>
  </si>
  <si>
    <t xml:space="preserve">Fast pris kr 920 +   stykkpris kr 46/anrop</t>
  </si>
  <si>
    <t xml:space="preserve">kr 920 / mnd inkl. 20 anrop + kr 46 / anrop over 20</t>
  </si>
  <si>
    <t xml:space="preserve">0–20 anrop</t>
  </si>
  <si>
    <t xml:space="preserve">Feilaktig markert sagt opp – aktiv per juni 2026</t>
  </si>
  <si>
    <t xml:space="preserve">Compass Group Norge AS (Veidekke-hovednummer)</t>
  </si>
  <si>
    <t xml:space="preserve">Fast pris kr 1700 inkludert 800 anrop  + stykkpris per anrop over 800 er kr 26</t>
  </si>
  <si>
    <t xml:space="preserve">kr 17 000 / mnd inkl. 800 anrop + kr 26 / over 800 </t>
  </si>
  <si>
    <t xml:space="preserve">0–800 anrop</t>
  </si>
  <si>
    <t xml:space="preserve">Kø 3082 · Juni: 475 anrop + 1 776 e-poster × kr 10 = kr 17 760. Bekreftet av Geir</t>
  </si>
  <si>
    <t xml:space="preserve">Veidekke – e-posthåndtering</t>
  </si>
  <si>
    <t xml:space="preserve">Stykkpris kr 10 per e-post</t>
  </si>
  <si>
    <t xml:space="preserve">kr 10 / e-post (telles manuelt)</t>
  </si>
  <si>
    <t xml:space="preserve">Per videresendelse</t>
  </si>
  <si>
    <t xml:space="preserve">Tillegg i Compass Group-fakturaen – faktureres separat for å håndtere e-postene</t>
  </si>
  <si>
    <t xml:space="preserve">Frano AS</t>
  </si>
  <si>
    <t xml:space="preserve">Fast pris kr 195 + stykkpris kr 29 per anrop</t>
  </si>
  <si>
    <t xml:space="preserve">kr 195 fast / mnd + kr 29 / anrop</t>
  </si>
  <si>
    <t xml:space="preserve">Ingen inkludert</t>
  </si>
  <si>
    <t xml:space="preserve">Funksjonell Medisinsk Klinikk AS</t>
  </si>
  <si>
    <t xml:space="preserve">Fast pris kr 840 20 anrop inkl + stykkpris per anrop over 20 er kr 42 </t>
  </si>
  <si>
    <t xml:space="preserve">kr 840 / mnd inkl. 20 anrop + kr 42 / anrop over 20 (betaler alltid grunnpris)</t>
  </si>
  <si>
    <t xml:space="preserve">13 anrop i juni · Betaler alltid 840 grunnpris uansett volum</t>
  </si>
  <si>
    <t xml:space="preserve">Fysiodirekte AS</t>
  </si>
  <si>
    <t xml:space="preserve">kr 805 / mnd inkl. 20 anrop + kr 40 / anrop over 20 (betaler alltid grunnpris)</t>
  </si>
  <si>
    <t xml:space="preserve">Betaler grunnpris selv uten anrop</t>
  </si>
  <si>
    <t xml:space="preserve">Gulvfag Norge AS</t>
  </si>
  <si>
    <t xml:space="preserve">kr 700 / mnd inkl. 20 + kr 36 / over 20 + 3 × kr 139 tilknytning</t>
  </si>
  <si>
    <t xml:space="preserve">3 tillegg: Nye Gulv Norge (1 anrop) + Adler Parkettsliperi (17) + Hytteguttene · Totalt 46 anrop, 26 over 20</t>
  </si>
  <si>
    <t xml:space="preserve">Gunvaldsen og sønn AS</t>
  </si>
  <si>
    <t xml:space="preserve">kr 1 180 / mnd inkl. 40 anrop + kr 27 / anrop over 40</t>
  </si>
  <si>
    <t xml:space="preserve">0–40 anrop</t>
  </si>
  <si>
    <t xml:space="preserve">IKT Nor AS</t>
  </si>
  <si>
    <t xml:space="preserve">kr 860 / mnd inkl. 20 anrop + kr 42 / anrop over 20</t>
  </si>
  <si>
    <t xml:space="preserve">Invicta AS</t>
  </si>
  <si>
    <t xml:space="preserve">fast pris kr 2 900 / mnd inkludert 200 anrop  + stykkpris kr 18 / anrop over 200</t>
  </si>
  <si>
    <t xml:space="preserve">kr 2 900 / mnd base + kr 18 / anrop over 200</t>
  </si>
  <si>
    <t xml:space="preserve">0–200 anrop</t>
  </si>
  <si>
    <t xml:space="preserve">JCDecaux Norge AS</t>
  </si>
  <si>
    <t xml:space="preserve">kr 2 000 / mnd inkl. 20 anrop + kr 40 / anrop over 20 (ny pris juni 2026)</t>
  </si>
  <si>
    <t xml:space="preserve">Ny pris fra juni 2026 (tidl. kr 4 480)</t>
  </si>
  <si>
    <t xml:space="preserve">Kontroll Elektro AS</t>
  </si>
  <si>
    <t xml:space="preserve">Meavia AS / Bekkestua Psykologen</t>
  </si>
  <si>
    <t xml:space="preserve">Fast pris kr 199  / mnd + kr 42 / anrop</t>
  </si>
  <si>
    <t xml:space="preserve">PC Vennen AS</t>
  </si>
  <si>
    <t xml:space="preserve">Fast pris kr 3 010 / mnd inkl. 149 anrop</t>
  </si>
  <si>
    <t xml:space="preserve">kr 3 010 / mnd inkl. 149 anrop</t>
  </si>
  <si>
    <t xml:space="preserve">0–149 anrop</t>
  </si>
  <si>
    <t xml:space="preserve">Kontakt: Harald Brevig</t>
  </si>
  <si>
    <t xml:space="preserve">Philips Norge AS</t>
  </si>
  <si>
    <t xml:space="preserve">Fast pris kr 8 110 / mnd + kr 18 / anrop over 499</t>
  </si>
  <si>
    <t xml:space="preserve">kr 8 110 / mnd + kr 18 / anrop over 499</t>
  </si>
  <si>
    <t xml:space="preserve">0–499 anrop</t>
  </si>
  <si>
    <t xml:space="preserve">Positiv Trafikkskole AS</t>
  </si>
  <si>
    <t xml:space="preserve">kr 515 / mnd + kr 42 / anrop</t>
  </si>
  <si>
    <t xml:space="preserve">Prevas AS</t>
  </si>
  <si>
    <t xml:space="preserve">Fast pris kr 199 fast / mnd + kr 46 / anrop</t>
  </si>
  <si>
    <t xml:space="preserve">kr 199 fast / mnd + kr 46 / anrop</t>
  </si>
  <si>
    <t xml:space="preserve">Safari Planter AS</t>
  </si>
  <si>
    <t xml:space="preserve">Fast pris kr 199 grunnpris / mnd + kr 46 / anrop</t>
  </si>
  <si>
    <t xml:space="preserve">kr 199 grunnpris / mnd + kr 46 / anrop</t>
  </si>
  <si>
    <t xml:space="preserve">Tropisk Design AS</t>
  </si>
  <si>
    <t xml:space="preserve">Fast pris kr 880 / mnd inkl. 20 anrop + kr 45 / anrop over 20</t>
  </si>
  <si>
    <t xml:space="preserve">kr 880 / mnd inkl. 20 anrop + kr 45 / anrop over 20</t>
  </si>
  <si>
    <t xml:space="preserve">Vika Fysikalske Institutt AS</t>
  </si>
  <si>
    <t xml:space="preserve">Fast pris kr 199 fast + kr 790 rapporter + volumtabell (0-30) kr 1430 (31–40: 1 640) (41-50) kr 1880 (51-60) kr 2100 (61-70 kr 2300 71-80 kr 2600</t>
  </si>
  <si>
    <t xml:space="preserve">kr 199 fast + kr 790 rapporter + volumtabell (31–40: 1 640)</t>
  </si>
  <si>
    <t xml:space="preserve">Volumtabell</t>
  </si>
  <si>
    <t xml:space="preserve">Zones AS</t>
  </si>
  <si>
    <t xml:space="preserve">kr 820 / mnd inkl. 20 anrop + kr 42 / anrop over 20</t>
  </si>
  <si>
    <t xml:space="preserve">Back-up løsning</t>
  </si>
  <si>
    <t xml:space="preserve">CEG-TABELL  (20-trinns trappetabell – NEMUS delt per klinikk)</t>
  </si>
  <si>
    <t xml:space="preserve">CEG Norway AS</t>
  </si>
  <si>
    <t xml:space="preserve">CEG-tabell</t>
  </si>
  <si>
    <t xml:space="preserve">kr 1 500 / mnd (0–69) og oppover</t>
  </si>
  <si>
    <t xml:space="preserve">0–69 samtaler</t>
  </si>
  <si>
    <t xml:space="preserve">Dental Sør AS</t>
  </si>
  <si>
    <t xml:space="preserve">CEG 20-trinns tabell</t>
  </si>
  <si>
    <t xml:space="preserve">Klinikk Øre-nese-hals AS</t>
  </si>
  <si>
    <t xml:space="preserve">NEMUS – Horten Helseklinikk AS</t>
  </si>
  <si>
    <t xml:space="preserve">CEG-tabell + fastpris tillegg</t>
  </si>
  <si>
    <t xml:space="preserve">kr 115 fast + kr 199 tillegg + CEG-tabell (116 anrop → 3 145)</t>
  </si>
  <si>
    <t xml:space="preserve">Per anrop</t>
  </si>
  <si>
    <t xml:space="preserve">116 anrop i juni → CEG-tier · Totalt kr 3 459 ekskl.</t>
  </si>
  <si>
    <t xml:space="preserve">NEMUS – Larvik AS</t>
  </si>
  <si>
    <t xml:space="preserve">CEG-tabell + fastpris kr 199</t>
  </si>
  <si>
    <t xml:space="preserve">kr 115 fast + kr 199 tillegg + CEG-tabell (0 anrop → 0)</t>
  </si>
  <si>
    <t xml:space="preserve">0 anrop i juni → kun fastpris + tillegg = kr 1 699 ekskl.</t>
  </si>
  <si>
    <t xml:space="preserve">NEMUS – Nøtterøy Helseklinikk AS</t>
  </si>
  <si>
    <t xml:space="preserve">kr 1 500 fast + kr 199 tillegg + CEG-tabell (81 anrop)</t>
  </si>
  <si>
    <t xml:space="preserve">81 anrop i juni · Totalt kr 2 479 ekskl.</t>
  </si>
  <si>
    <t xml:space="preserve">NEMUS – Sandefjord Kiropraktikk AS</t>
  </si>
  <si>
    <t xml:space="preserve">kr 1 500 fast + kr 199 tillegg + CEG-tabell (85 anrop)</t>
  </si>
  <si>
    <t xml:space="preserve">85 anrop i juni · Totalt kr 2 479 ekskl.</t>
  </si>
  <si>
    <t xml:space="preserve">NEMUS – Tønsberg Helseklinikk AS</t>
  </si>
  <si>
    <t xml:space="preserve">kr 1 500 fast + kr 199 tillegg + CEG-tabell (70 anrop)</t>
  </si>
  <si>
    <t xml:space="preserve">70 anrop i juni · Totalt kr 2 479 ekskl.</t>
  </si>
  <si>
    <t xml:space="preserve">Per Tverfjell Bilomsetning AS</t>
  </si>
  <si>
    <t xml:space="preserve">OBS: Claude beregnet 3 260 (CEG 110-129, 120 anrop). Tripletex fakturerte 2 870. Avvik kr 390 – bekreftet av Geir at Claude har rett</t>
  </si>
  <si>
    <t xml:space="preserve">Vera Tank AS</t>
  </si>
  <si>
    <t xml:space="preserve">EGNE TABELLER  (individuelle volumtrapper og spesialavtaler)</t>
  </si>
  <si>
    <t xml:space="preserve">Ahlberg data (PC Vennen AS)</t>
  </si>
  <si>
    <t xml:space="preserve">kr 3 490 / mnd + kr 32 / anrop over 99</t>
  </si>
  <si>
    <t xml:space="preserve">Kunde nr 32942</t>
  </si>
  <si>
    <t xml:space="preserve">Allskog SA</t>
  </si>
  <si>
    <t xml:space="preserve">kr 15 000 / mnd</t>
  </si>
  <si>
    <t xml:space="preserve">Ubegrenset + statistikk</t>
  </si>
  <si>
    <t xml:space="preserve">Ny fast pris fra mars 2026</t>
  </si>
  <si>
    <t xml:space="preserve">Caverion Norge AS</t>
  </si>
  <si>
    <t xml:space="preserve">250-299: kr 5 315 / 300-349: kr 6 275 (2026)</t>
  </si>
  <si>
    <t xml:space="preserve">Se pristabell</t>
  </si>
  <si>
    <t xml:space="preserve">Nasjonal rammeavtale</t>
  </si>
  <si>
    <t xml:space="preserve">EFAS (Eurofusion AS)</t>
  </si>
  <si>
    <t xml:space="preserve">kr 199 fast / mnd + volumtabell (0-30: kr 1 330)</t>
  </si>
  <si>
    <t xml:space="preserve">ENRX AS</t>
  </si>
  <si>
    <t xml:space="preserve">Volumtrapp: 0-99: kr 2 580 / 100-149: kr 3 100</t>
  </si>
  <si>
    <t xml:space="preserve">Se kundeark</t>
  </si>
  <si>
    <t xml:space="preserve">Promon AS</t>
  </si>
  <si>
    <t xml:space="preserve">Volumtrapp: 0-99: kr 7 410 / 100-149: kr 10 550</t>
  </si>
  <si>
    <t xml:space="preserve">Rambøll Norge AS</t>
  </si>
  <si>
    <t xml:space="preserve">kr 4 640 base + kr 42 / anrop over 299</t>
  </si>
  <si>
    <t xml:space="preserve">Rapport (kr 1 495) er sagt opp. Beregning: 4 640 + 56×42 = 6 992. Bekreftet av Geir</t>
  </si>
  <si>
    <t xml:space="preserve">Safenordic AS OBS! Faktureres fra Touchcom AS fra og med august 2026</t>
  </si>
  <si>
    <t xml:space="preserve">kr 1 125 / mnd inkl. 30 anrop (rollover 3 mnd)</t>
  </si>
  <si>
    <t xml:space="preserve">0–30 anrop</t>
  </si>
  <si>
    <t xml:space="preserve">Safenordic 1 + Touchcom 10</t>
  </si>
  <si>
    <t xml:space="preserve">KVARTALSFAKTURERING</t>
  </si>
  <si>
    <t xml:space="preserve">Enova Trondheim (Compass)</t>
  </si>
  <si>
    <t xml:space="preserve">kr 5 140 / kvartal + kr 36 / anrop over 200</t>
  </si>
  <si>
    <t xml:space="preserve">Kvartalsvis</t>
  </si>
  <si>
    <t xml:space="preserve">Kvartalsfakturering: kr 5 140 forskudd (jan/apr/jul/okt, faktura siste dag i måneden). Kr 36 per anrop over 200 per kvartal. H-kolonnen = kvartalets samlede anropstall (apr 39 + mai 56 + jun 75 = 170). Neste faktura juli 2026.</t>
  </si>
  <si>
    <t xml:space="preserve">Norsk Medisinsk Syklotronsenter</t>
  </si>
  <si>
    <t xml:space="preserve">kr 2 870 / kvartal (0-99)</t>
  </si>
  <si>
    <t xml:space="preserve">Kvartalstall</t>
  </si>
  <si>
    <t xml:space="preserve">Ble fakturert i juni </t>
  </si>
  <si>
    <t xml:space="preserve">NYD – Norsk Yrkesdykkerskole</t>
  </si>
  <si>
    <t xml:space="preserve">kr 10 230 / kvartal (forskudd)</t>
  </si>
  <si>
    <t xml:space="preserve">Kvartalsfakturering: kr 10 230 forskudd, faktura 20'de (feb/mai/aug/nov). Neste faktura august 2026.</t>
  </si>
  <si>
    <t xml:space="preserve">ÅRSABONNEMENT</t>
  </si>
  <si>
    <t xml:space="preserve">Feste Trafikkskole AS</t>
  </si>
  <si>
    <t xml:space="preserve">kr 2 580 / år + kr 380/dag (daglig) eller kr 1 490/uke (ferie/ukentlig)</t>
  </si>
  <si>
    <t xml:space="preserve">Årsvis</t>
  </si>
  <si>
    <t xml:space="preserve">Årsavgift kr 2 580 faktureres september (forskudd). VED BRUK (når anrop vises i Zisson): kr 380 per dag ved daglig bruk eller kr 1 490 per uke ved ukentlig/ferieavvikling. Beregn I-kolonnen manuelt ved bruk.</t>
  </si>
  <si>
    <t xml:space="preserve">NYE KUNDER – PRISMODELLER HENTET FRA TRIPLETEX</t>
  </si>
  <si>
    <t xml:space="preserve">Dekkteam Ringdekk AS</t>
  </si>
  <si>
    <t xml:space="preserve">kr 1 131 fast / mnd + kr 30 / anrop</t>
  </si>
  <si>
    <t xml:space="preserve">Fit4 AS (Helselaben)</t>
  </si>
  <si>
    <t xml:space="preserve">kr 3 292 / mnd inkl. 100 anrop + kr 28 / over 100 + e-post behandling kr 1548,-(separat på fakturaen)</t>
  </si>
  <si>
    <t xml:space="preserve">0–100 anrop</t>
  </si>
  <si>
    <t xml:space="preserve">HR Companies AS</t>
  </si>
  <si>
    <t xml:space="preserve">kr 873 fast / mnd + kr 30 / anrop</t>
  </si>
  <si>
    <t xml:space="preserve">Krøderen Elektro AS</t>
  </si>
  <si>
    <t xml:space="preserve">kr 566 fast + kr 114 /ansatt (21 stk)  + kr 30 / anrop</t>
  </si>
  <si>
    <t xml:space="preserve">Per ansatt + anrop</t>
  </si>
  <si>
    <t xml:space="preserve">Menova AS</t>
  </si>
  <si>
    <t xml:space="preserve">kr 566 fast + kr 56 / ansatt (25 stk) + kr 28 / anrop</t>
  </si>
  <si>
    <t xml:space="preserve">Print Supplies AS</t>
  </si>
  <si>
    <t xml:space="preserve">kr 660 fast / mnd + kr 30 / anrop</t>
  </si>
  <si>
    <t xml:space="preserve">Ringerike Elektro AS</t>
  </si>
  <si>
    <t xml:space="preserve">kr 764 fast / mnd inkl. 20 anrop + kr 30 / anrop over 20</t>
  </si>
  <si>
    <t xml:space="preserve">0–20 anrop inkl.</t>
  </si>
  <si>
    <t xml:space="preserve">Trafikkskolen Driver AS</t>
  </si>
  <si>
    <t xml:space="preserve">kr 6 129 / mnd inkl. 149 anrop + kr 23 / over 149 (inkl. e-post og utgående)</t>
  </si>
  <si>
    <t xml:space="preserve">Willis Towers Watson AS</t>
  </si>
  <si>
    <t xml:space="preserve">kr 640 fast + kr 118 / ansatt (12 stk) + kr 30 / anrop (+ kr 490 samtaleoverføringsrapport fra og med september 2026-kjøringen)</t>
  </si>
  <si>
    <t xml:space="preserve">kr 640 fast + kr 118 / ansatt (12 stk) + kr 30 / anrop + kr 490 / mnd (samtaleoverføringsrapport)</t>
  </si>
  <si>
    <t xml:space="preserve">Bestilt samtaleoverført-rapport – kr 490/mnd tillegg fra og med september 2026-kjøringen.</t>
  </si>
  <si>
    <t xml:space="preserve">Ower Trafikkskole</t>
  </si>
  <si>
    <t xml:space="preserve">Aktiv </t>
  </si>
  <si>
    <t xml:space="preserve">Pris pr måned: kr 2 950,- 
inntil 30 besvarte samtaler
Pris per besvart samtale utover 30: kr 60,-</t>
  </si>
  <si>
    <t xml:space="preserve">Proevemaaned</t>
  </si>
  <si>
    <t xml:space="preserve">Pris pr måned: kr 2 950,- inkluderer telefonkanal, tilgjengelighet til våre
kundeservicebetjenter og inntil 30 besvarte samtaler
Oppdatert prisplan videre etter prøvemåneden.Pris per besvart samtale utover 30: kr 60,-</t>
  </si>
  <si>
    <t xml:space="preserve">BEREGNET TOTAL august 2026 (ekskl. mva)</t>
  </si>
  <si>
    <t xml:space="preserve">FAKTISK TOTAL Tripletex august 2026 (ekskl. mva)</t>
  </si>
  <si>
    <t xml:space="preserve">AVVENTER PRISMODELL (nye køer funnet i Zisson, ikke fakturert ennå)</t>
  </si>
  <si>
    <t xml:space="preserve">Kinnarps</t>
  </si>
  <si>
    <t xml:space="preserve">Avventer prismodell</t>
  </si>
  <si>
    <t xml:space="preserve">Etablering kr 1500 + kr 950 per påbegynt 20-samtalersteg besvarte samtaler (per bestilling/periode)</t>
  </si>
  <si>
    <t xml:space="preserve">Ny kø funnet i Zisson august 2026 (5439) – prismodell ikke avtalt ennå</t>
  </si>
  <si>
    <t xml:space="preserve">T. Solbakken Trafikkskole</t>
  </si>
  <si>
    <t xml:space="preserve">Fast pris + trappepris per 20 besvarte samtaler</t>
  </si>
  <si>
    <t xml:space="preserve">kr 1 500 / mnd fast + kr 950 per påbegynt 20-samtalersteg</t>
  </si>
  <si>
    <t xml:space="preserve">Ingen samtaler inkl. i fastprisen</t>
  </si>
  <si>
    <t xml:space="preserve">Fast kr 1500/mnd (telefonkanal + tilgjengelighet). + kr 950 per påbegynt 20-steg besvarte samtaler (1-20=1x950, 21-40=2x950, 41-60=3x950, osv). Prismodell bekreftet av Geir 2026-09-15.</t>
  </si>
  <si>
    <t xml:space="preserve">Vol fra</t>
  </si>
  <si>
    <t xml:space="preserve">Vol til</t>
  </si>
  <si>
    <t xml:space="preserve">Pris</t>
  </si>
  <si>
    <t xml:space="preserve">kr 640 fast + kr 118 / ansatt (12 stk) + kr 30 / anrop</t>
  </si>
  <si>
    <t xml:space="preserve">CEG-Tabell</t>
  </si>
  <si>
    <t xml:space="preserve">Prisene gjelder per måned og er basert på volum (antall samtaler besvart). Prisene justeres trinnvis etter antall samtaler.</t>
  </si>
  <si>
    <t xml:space="preserve">Volum (antall samtaler)</t>
  </si>
  <si>
    <t xml:space="preserve">Pris (NOK)</t>
  </si>
  <si>
    <t xml:space="preserve">50 – 69</t>
  </si>
  <si>
    <t xml:space="preserve">70 – 89</t>
  </si>
  <si>
    <t xml:space="preserve">90 – 109</t>
  </si>
  <si>
    <t xml:space="preserve">110 – 129</t>
  </si>
  <si>
    <t xml:space="preserve">130 – 149</t>
  </si>
  <si>
    <t xml:space="preserve">150 – 169</t>
  </si>
  <si>
    <t xml:space="preserve">170 – 189</t>
  </si>
  <si>
    <t xml:space="preserve">190 – 209</t>
  </si>
  <si>
    <t xml:space="preserve">210 – 229</t>
  </si>
  <si>
    <t xml:space="preserve">230 – 249</t>
  </si>
  <si>
    <t xml:space="preserve">250 – 269</t>
  </si>
  <si>
    <t xml:space="preserve">270 – 289</t>
  </si>
  <si>
    <t xml:space="preserve">290 – 309</t>
  </si>
  <si>
    <t xml:space="preserve">310 – 329</t>
  </si>
  <si>
    <t xml:space="preserve">330 – 349</t>
  </si>
  <si>
    <t xml:space="preserve">350 – 369</t>
  </si>
  <si>
    <t xml:space="preserve">370 – 389</t>
  </si>
  <si>
    <t xml:space="preserve">390 – 409</t>
  </si>
  <si>
    <t xml:space="preserve">410 – 429</t>
  </si>
  <si>
    <t xml:space="preserve">430 – 449</t>
  </si>
  <si>
    <t xml:space="preserve">450 – 469</t>
  </si>
  <si>
    <t xml:space="preserve">470 – 489</t>
  </si>
  <si>
    <t xml:space="preserve">490 – 509</t>
  </si>
  <si>
    <t xml:space="preserve">510 – 529</t>
  </si>
  <si>
    <t xml:space="preserve">530 – 549</t>
  </si>
  <si>
    <t xml:space="preserve">550 – 569</t>
  </si>
  <si>
    <t xml:space="preserve">570 – 589</t>
  </si>
  <si>
    <t xml:space="preserve">590 – 609</t>
  </si>
  <si>
    <t xml:space="preserve">610 – 629</t>
  </si>
  <si>
    <t xml:space="preserve">630 – 649</t>
  </si>
  <si>
    <t xml:space="preserve">650 – 669</t>
  </si>
  <si>
    <t xml:space="preserve">670 – 689</t>
  </si>
  <si>
    <t xml:space="preserve">690 – 709</t>
  </si>
  <si>
    <t xml:space="preserve">710 – 729</t>
  </si>
  <si>
    <t xml:space="preserve">730 – 749</t>
  </si>
  <si>
    <t xml:space="preserve">750 – 769</t>
  </si>
  <si>
    <t xml:space="preserve">770 – 789</t>
  </si>
  <si>
    <t xml:space="preserve">790 – 809</t>
  </si>
  <si>
    <t xml:space="preserve">810 – 829</t>
  </si>
  <si>
    <t xml:space="preserve">830 – 849</t>
  </si>
  <si>
    <t xml:space="preserve">850 – 869</t>
  </si>
  <si>
    <t xml:space="preserve">870 – 889</t>
  </si>
  <si>
    <t xml:space="preserve">890 – 909</t>
  </si>
  <si>
    <t xml:space="preserve">910 – 929</t>
  </si>
  <si>
    <t xml:space="preserve">930 – 949</t>
  </si>
  <si>
    <t xml:space="preserve">950 – 969</t>
  </si>
  <si>
    <t xml:space="preserve">970 – 989</t>
  </si>
  <si>
    <t xml:space="preserve">990 – 1009</t>
  </si>
  <si>
    <t xml:space="preserve">1010 – 1029</t>
  </si>
  <si>
    <t xml:space="preserve">1030 – 1049</t>
  </si>
  <si>
    <t xml:space="preserve">1050 – 1069</t>
  </si>
  <si>
    <t xml:space="preserve">1070 – 1089</t>
  </si>
  <si>
    <t xml:space="preserve">1090 – 1109</t>
  </si>
  <si>
    <t xml:space="preserve">1110 – 1129</t>
  </si>
  <si>
    <t xml:space="preserve">1130 – 1149</t>
  </si>
  <si>
    <t xml:space="preserve">1150 – 1169</t>
  </si>
  <si>
    <t xml:space="preserve">1170 – 1189</t>
  </si>
  <si>
    <t xml:space="preserve">1190 – 1209</t>
  </si>
  <si>
    <t xml:space="preserve">1210 – 1229</t>
  </si>
  <si>
    <t xml:space="preserve">1230 – 1249</t>
  </si>
  <si>
    <t xml:space="preserve">1250 – 1269</t>
  </si>
  <si>
    <t xml:space="preserve">1270 – 1289</t>
  </si>
  <si>
    <t xml:space="preserve">1290 – 1309</t>
  </si>
  <si>
    <t xml:space="preserve">1310 – 1329</t>
  </si>
  <si>
    <t xml:space="preserve">1330 – 1349</t>
  </si>
  <si>
    <t xml:space="preserve">1350 – 1369</t>
  </si>
  <si>
    <t xml:space="preserve">1370 – 1389</t>
  </si>
  <si>
    <t xml:space="preserve">1390 – 1409</t>
  </si>
  <si>
    <t xml:space="preserve">1410 – 1429</t>
  </si>
  <si>
    <t xml:space="preserve">1430 – 1449</t>
  </si>
  <si>
    <t xml:space="preserve">1450 – 1469</t>
  </si>
  <si>
    <t xml:space="preserve">1470 – 1489</t>
  </si>
  <si>
    <t xml:space="preserve">1490 – 1509</t>
  </si>
  <si>
    <t xml:space="preserve">1510 – 1529</t>
  </si>
  <si>
    <t xml:space="preserve">1530 – 1549</t>
  </si>
  <si>
    <t xml:space="preserve">1550 – 1569</t>
  </si>
  <si>
    <t xml:space="preserve">1570 – 1589</t>
  </si>
  <si>
    <t xml:space="preserve">1590 – 1609</t>
  </si>
  <si>
    <t xml:space="preserve">1610 – 1629</t>
  </si>
  <si>
    <t xml:space="preserve">1630 – 1649</t>
  </si>
  <si>
    <t xml:space="preserve">1650 – 1669</t>
  </si>
  <si>
    <t xml:space="preserve">1670 – 1689</t>
  </si>
  <si>
    <t xml:space="preserve">1690 – 1709</t>
  </si>
  <si>
    <t xml:space="preserve">1710 – 1729</t>
  </si>
  <si>
    <t xml:space="preserve">1730 – 1749</t>
  </si>
  <si>
    <t xml:space="preserve">1750 – 1769</t>
  </si>
  <si>
    <t xml:space="preserve">1770 – 1789</t>
  </si>
  <si>
    <t xml:space="preserve">1790 – 1809</t>
  </si>
  <si>
    <t xml:space="preserve">1810 – 1829</t>
  </si>
  <si>
    <t xml:space="preserve">1830 – 1849</t>
  </si>
  <si>
    <t xml:space="preserve">1850 – 1869</t>
  </si>
  <si>
    <t xml:space="preserve">1870 – 1889</t>
  </si>
  <si>
    <t xml:space="preserve">1890 – 1909</t>
  </si>
  <si>
    <t xml:space="preserve">1910 – 1929</t>
  </si>
  <si>
    <t xml:space="preserve">1930 – 1949</t>
  </si>
  <si>
    <t xml:space="preserve">1950 – 1969</t>
  </si>
  <si>
    <t xml:space="preserve">1970 – 1989</t>
  </si>
  <si>
    <t xml:space="preserve">1990 – 2009</t>
  </si>
  <si>
    <t xml:space="preserve">2010 – 2029</t>
  </si>
  <si>
    <t xml:space="preserve">2030 – 2049</t>
  </si>
  <si>
    <t xml:space="preserve">2050 – 2069</t>
  </si>
  <si>
    <t xml:space="preserve">2070 – 2089</t>
  </si>
  <si>
    <t xml:space="preserve">2090 – 2109</t>
  </si>
  <si>
    <t xml:space="preserve">2110 – 2129</t>
  </si>
  <si>
    <t xml:space="preserve">2130 – 2149</t>
  </si>
  <si>
    <t xml:space="preserve">2150 – 2169</t>
  </si>
  <si>
    <t xml:space="preserve">2170 – 2189</t>
  </si>
  <si>
    <t xml:space="preserve">2190 – 2209</t>
  </si>
  <si>
    <t xml:space="preserve">2210 – 2229</t>
  </si>
  <si>
    <t xml:space="preserve">2230 – 2249</t>
  </si>
  <si>
    <t xml:space="preserve">2250 – 2269</t>
  </si>
  <si>
    <t xml:space="preserve">2270 – 2289</t>
  </si>
  <si>
    <t xml:space="preserve">2290 – 2309</t>
  </si>
  <si>
    <t xml:space="preserve">2310 – 2329</t>
  </si>
  <si>
    <t xml:space="preserve">2330 – 2349</t>
  </si>
  <si>
    <t xml:space="preserve">2350 – 2369</t>
  </si>
  <si>
    <t xml:space="preserve">2370 – 2389</t>
  </si>
  <si>
    <t xml:space="preserve">2390 – 2409</t>
  </si>
  <si>
    <t xml:space="preserve">2410 – 2429</t>
  </si>
  <si>
    <t xml:space="preserve">2430 – 2449</t>
  </si>
  <si>
    <t xml:space="preserve">Caverion</t>
  </si>
  <si>
    <t xml:space="preserve">Tabell</t>
  </si>
  <si>
    <t xml:space="preserve">0-99</t>
  </si>
  <si>
    <t xml:space="preserve">100-149</t>
  </si>
  <si>
    <t xml:space="preserve">150-199</t>
  </si>
  <si>
    <t xml:space="preserve">200-249</t>
  </si>
  <si>
    <t xml:space="preserve">250-299</t>
  </si>
  <si>
    <t xml:space="preserve">300-349</t>
  </si>
  <si>
    <t xml:space="preserve">350-399</t>
  </si>
  <si>
    <t xml:space="preserve">400-449</t>
  </si>
  <si>
    <t xml:space="preserve">450-499</t>
  </si>
  <si>
    <t xml:space="preserve">500-549</t>
  </si>
  <si>
    <t xml:space="preserve">550-599</t>
  </si>
  <si>
    <t xml:space="preserve">Tillegg over </t>
  </si>
  <si>
    <t xml:space="preserve">&gt;599</t>
  </si>
  <si>
    <t xml:space="preserve">Vika fysikalske institutt</t>
  </si>
  <si>
    <t xml:space="preserve">Volum</t>
  </si>
  <si>
    <t xml:space="preserve">0-30</t>
  </si>
  <si>
    <t xml:space="preserve">31-40</t>
  </si>
  <si>
    <t xml:space="preserve">41-50</t>
  </si>
  <si>
    <t xml:space="preserve">51-60</t>
  </si>
  <si>
    <t xml:space="preserve">61-70</t>
  </si>
  <si>
    <t xml:space="preserve">71-80</t>
  </si>
  <si>
    <t xml:space="preserve">Rapporter </t>
  </si>
  <si>
    <t xml:space="preserve">fastpris </t>
  </si>
  <si>
    <t xml:space="preserve">Promon tabell</t>
  </si>
  <si>
    <t xml:space="preserve">ENRX tabell</t>
  </si>
  <si>
    <t xml:space="preserve">Over 299:</t>
  </si>
  <si>
    <t xml:space="preserve">Rambøll tabell</t>
  </si>
  <si>
    <t xml:space="preserve">0 - 99</t>
  </si>
  <si>
    <t xml:space="preserve">Pris pr anrop mer enn 299 er kr 42 pr stk.</t>
  </si>
  <si>
    <t xml:space="preserve">Fakturaplan Kvartal terminfakturering - Aktive</t>
  </si>
  <si>
    <t xml:space="preserve">Kunde nr </t>
  </si>
  <si>
    <t xml:space="preserve">Produkt</t>
  </si>
  <si>
    <t xml:space="preserve"> </t>
  </si>
  <si>
    <t xml:space="preserve">Termin</t>
  </si>
  <si>
    <t xml:space="preserve">Fakt dato</t>
  </si>
  <si>
    <t xml:space="preserve">Jan </t>
  </si>
  <si>
    <t xml:space="preserve">feb</t>
  </si>
  <si>
    <t xml:space="preserve">mar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</si>
  <si>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</si>
  <si>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</si>
  <si>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</si>
  <si>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</si>
  <si>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</si>
  <si>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</si>
  <si>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</si>
  <si>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</si>
  <si>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des</t>
  </si>
  <si>
    <t xml:space="preserve">mamut</t>
  </si>
  <si>
    <t xml:space="preserve">Element Logic Norge</t>
  </si>
  <si>
    <t xml:space="preserve">Sentralbord fast</t>
  </si>
  <si>
    <t xml:space="preserve">Forskudd pr kvartal 8880,-</t>
  </si>
  <si>
    <t xml:space="preserve">1'ste</t>
  </si>
  <si>
    <t xml:space="preserve">x</t>
  </si>
  <si>
    <t xml:space="preserve">Element Logic Sverige</t>
  </si>
  <si>
    <t xml:space="preserve">Forskudd pr kvartal 8880,- eks mva</t>
  </si>
  <si>
    <t xml:space="preserve">Norsk yrkesdykkerskole</t>
  </si>
  <si>
    <t xml:space="preserve">Forskudd pr.kvartal 10230,-</t>
  </si>
  <si>
    <t xml:space="preserve">20'de</t>
  </si>
  <si>
    <t xml:space="preserve">Etterskudd pr kvartal 2870,-</t>
  </si>
  <si>
    <t xml:space="preserve">31'de</t>
  </si>
  <si>
    <t xml:space="preserve">Feste trafikkskole</t>
  </si>
  <si>
    <t xml:space="preserve">Årlig forskudd</t>
  </si>
  <si>
    <t xml:space="preserve">2580,- + (VED BRUK: Daglig pr. dag 380,- Ukentlig bruk(f.eks. ferie) 1490,-)</t>
  </si>
  <si>
    <t xml:space="preserve">Compass Group, Trondheim - Enova Powerhouse</t>
  </si>
  <si>
    <t xml:space="preserve">Forskudd kvartal kr 5140,-</t>
  </si>
  <si>
    <t xml:space="preserve">STD_Fra</t>
  </si>
  <si>
    <t xml:space="preserve">STD_Pris</t>
  </si>
  <si>
    <t xml:space="preserve">CEG_Fra</t>
  </si>
  <si>
    <t xml:space="preserve">CEG_Pris</t>
  </si>
  <si>
    <t xml:space="preserve">CORO_Fra</t>
  </si>
  <si>
    <t xml:space="preserve">CORO_Pris</t>
  </si>
  <si>
    <t xml:space="preserve">EFAS_Fra</t>
  </si>
  <si>
    <t xml:space="preserve">EFAS_Pris</t>
  </si>
  <si>
    <t xml:space="preserve">ENRX_Fra</t>
  </si>
  <si>
    <t xml:space="preserve">ENRX_Pris</t>
  </si>
  <si>
    <t xml:space="preserve">PROMON_Fra</t>
  </si>
  <si>
    <t xml:space="preserve">PROMON_Pris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</si>
</sst>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+#,##0;\-#,##0;0"/>
    <numFmt numFmtId="167" formatCode="General"/>
    <numFmt numFmtId="168" formatCode="0"/>
    <numFmt numFmtId="169" formatCode="_-* #,##0_-;\-* #,##0_-;_-* \-??_-;_-@_-"/>
    <numFmt numFmtId="170" formatCode="_(* #,##0_);_(* \(#,##0\);_(* \-??_);_(@_)"/>
    <numFmt numFmtId="171" formatCode="&quot;kr &quot;#,##0;[RED]&quot;-kr &quot;#,##0"/>
    <numFmt numFmtId="172" formatCode="m/d/yyyy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000000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sz val="10"/>
      <color rgb="FFBFBFBF"/>
      <name val="Calibri"/>
      <family val="0"/>
      <charset val="1"/>
    </font>
    <font>
      <b val="true"/>
      <sz val="10"/>
      <color rgb="FF1F4E79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00"/>
      <name val="Calibri"/>
      <family val="0"/>
      <charset val="1"/>
    </font>
    <font>
      <b val="true"/>
      <i val="true"/>
      <sz val="10"/>
      <color rgb="FF000000"/>
      <name val="Calibri"/>
      <family val="2"/>
      <charset val="1"/>
    </font>
    <font>
      <b val="true"/>
      <sz val="10"/>
      <color rgb="FFBFBFBF"/>
      <name val="Calibri"/>
      <family val="2"/>
      <charset val="1"/>
    </font>
    <font>
      <b val="true"/>
      <i val="true"/>
      <sz val="10"/>
      <name val="Calibri"/>
      <family val="2"/>
      <charset val="1"/>
    </font>
    <font>
      <b val="true"/>
      <sz val="10"/>
      <color rgb="FF375623"/>
      <name val="Calibri"/>
      <family val="2"/>
      <charset val="1"/>
    </font>
    <font>
      <i val="true"/>
      <sz val="10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u val="single"/>
      <sz val="10"/>
      <color theme="1"/>
      <name val="Arial"/>
      <family val="2"/>
      <charset val="1"/>
    </font>
    <font>
      <u val="singl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CCFF66"/>
        <bgColor rgb="FFE2EFDA"/>
      </patternFill>
    </fill>
    <fill>
      <patternFill patternType="solid">
        <fgColor rgb="FFFF9966"/>
        <bgColor rgb="FFFF99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9966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CCFF66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7" activeCellId="0" sqref="G7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30.57"/>
    <col collapsed="false" customWidth="true" hidden="false" outlineLevel="0" max="3" min="3" style="1" width="5.86"/>
    <col collapsed="false" customWidth="true" hidden="false" outlineLevel="0" max="4" min="4" style="1" width="41"/>
    <col collapsed="false" customWidth="true" hidden="false" outlineLevel="0" max="5" min="5" style="1" width="76.57"/>
    <col collapsed="false" customWidth="true" hidden="false" outlineLevel="0" max="6" min="6" style="1" width="17.43"/>
    <col collapsed="false" customWidth="true" hidden="false" outlineLevel="0" max="7" min="7" style="1" width="89"/>
    <col collapsed="false" customWidth="true" hidden="false" outlineLevel="0" max="8" min="8" style="1" width="12.86"/>
    <col collapsed="false" customWidth="true" hidden="false" outlineLevel="0" max="9" min="9" style="1" width="11.57"/>
    <col collapsed="false" customWidth="true" hidden="false" outlineLevel="0" max="10" min="10" style="1" width="25"/>
    <col collapsed="false" customWidth="true" hidden="false" outlineLevel="0" max="11" min="11" style="1" width="8.57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3" t="s">
        <v>10</v>
      </c>
      <c r="K2" s="3" t="s">
        <v>11</v>
      </c>
    </row>
    <row r="3" customFormat="false" ht="18" hidden="false" customHeight="true" outlineLevel="0" collapsed="false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30" hidden="false" customHeight="true" outlineLevel="0" collapsed="false">
      <c r="A4" s="6" t="n">
        <v>1</v>
      </c>
      <c r="B4" s="7" t="s">
        <v>13</v>
      </c>
      <c r="C4" s="8" t="s">
        <v>14</v>
      </c>
      <c r="D4" s="9" t="s">
        <v>15</v>
      </c>
      <c r="E4" s="9" t="s">
        <v>16</v>
      </c>
      <c r="F4" s="10" t="s">
        <v>17</v>
      </c>
      <c r="G4" s="11" t="s">
        <v>18</v>
      </c>
      <c r="H4" s="12" t="n">
        <v>48</v>
      </c>
      <c r="I4" s="13" t="n">
        <f aca="false">IF(H4="–","–",IFERROR(VLOOKUP(H4,Tabeller!$A$2:$B$35,2,TRUE()),2960))</f>
        <v>2960</v>
      </c>
      <c r="J4" s="14" t="n">
        <v>2960</v>
      </c>
      <c r="K4" s="15" t="n">
        <f aca="false">IF(ISNUMBER(I4),IF(ISNUMBER(J4),J4-I4,""),"–")</f>
        <v>0</v>
      </c>
    </row>
    <row r="5" customFormat="false" ht="30" hidden="false" customHeight="true" outlineLevel="0" collapsed="false">
      <c r="A5" s="16" t="n">
        <v>2</v>
      </c>
      <c r="B5" s="17" t="s">
        <v>19</v>
      </c>
      <c r="C5" s="18" t="s">
        <v>14</v>
      </c>
      <c r="D5" s="19" t="s">
        <v>15</v>
      </c>
      <c r="E5" s="19" t="s">
        <v>16</v>
      </c>
      <c r="F5" s="20" t="s">
        <v>17</v>
      </c>
      <c r="G5" s="21"/>
      <c r="H5" s="22" t="n">
        <v>23</v>
      </c>
      <c r="I5" s="23" t="n">
        <f aca="false">IF(H5="–","–",IFERROR(VLOOKUP(H5,Tabeller!$A$2:$B$35,2,TRUE()),2960))</f>
        <v>2960</v>
      </c>
      <c r="J5" s="24" t="n">
        <v>2960</v>
      </c>
      <c r="K5" s="25" t="n">
        <f aca="false">IF(ISNUMBER(I5),IF(ISNUMBER(J5),J5-I5,""),"–")</f>
        <v>0</v>
      </c>
    </row>
    <row r="6" customFormat="false" ht="30" hidden="false" customHeight="true" outlineLevel="0" collapsed="false">
      <c r="A6" s="6" t="n">
        <v>3</v>
      </c>
      <c r="B6" s="7" t="s">
        <v>20</v>
      </c>
      <c r="C6" s="8" t="s">
        <v>14</v>
      </c>
      <c r="D6" s="9" t="s">
        <v>15</v>
      </c>
      <c r="E6" s="9" t="s">
        <v>16</v>
      </c>
      <c r="F6" s="10" t="s">
        <v>17</v>
      </c>
      <c r="G6" s="11"/>
      <c r="H6" s="12" t="n">
        <v>22</v>
      </c>
      <c r="I6" s="13" t="n">
        <f aca="false">IF(H6="–","–",IFERROR(VLOOKUP(H6,Tabeller!$A$2:$B$35,2,TRUE()),2960))</f>
        <v>2960</v>
      </c>
      <c r="J6" s="14" t="n">
        <v>2960</v>
      </c>
      <c r="K6" s="15" t="n">
        <f aca="false">IF(ISNUMBER(I6),IF(ISNUMBER(J6),J6-I6,""),"–")</f>
        <v>0</v>
      </c>
    </row>
    <row r="7" customFormat="false" ht="30" hidden="false" customHeight="true" outlineLevel="0" collapsed="false">
      <c r="A7" s="16" t="n">
        <v>4</v>
      </c>
      <c r="B7" s="17" t="s">
        <v>21</v>
      </c>
      <c r="C7" s="18" t="s">
        <v>14</v>
      </c>
      <c r="D7" s="19" t="s">
        <v>15</v>
      </c>
      <c r="E7" s="19" t="s">
        <v>16</v>
      </c>
      <c r="F7" s="20" t="s">
        <v>17</v>
      </c>
      <c r="G7" s="21" t="s">
        <v>22</v>
      </c>
      <c r="H7" s="22" t="n">
        <v>9</v>
      </c>
      <c r="I7" s="23" t="n">
        <f aca="false">IF(H7="–","–",IFERROR(VLOOKUP(H7,Tabeller!$A$2:$B$35,2,TRUE()),2960))</f>
        <v>2960</v>
      </c>
      <c r="J7" s="24" t="n">
        <v>2960</v>
      </c>
      <c r="K7" s="25" t="n">
        <f aca="false">IF(ISNUMBER(I7),IF(ISNUMBER(J7),J7-I7,""),"–")</f>
        <v>0</v>
      </c>
    </row>
    <row r="8" customFormat="false" ht="30" hidden="false" customHeight="true" outlineLevel="0" collapsed="false">
      <c r="A8" s="6" t="n">
        <v>5</v>
      </c>
      <c r="B8" s="7" t="s">
        <v>23</v>
      </c>
      <c r="C8" s="8" t="s">
        <v>14</v>
      </c>
      <c r="D8" s="9" t="s">
        <v>24</v>
      </c>
      <c r="E8" s="9" t="s">
        <v>25</v>
      </c>
      <c r="F8" s="10" t="s">
        <v>26</v>
      </c>
      <c r="G8" s="11" t="s">
        <v>27</v>
      </c>
      <c r="H8" s="12" t="n">
        <v>15</v>
      </c>
      <c r="I8" s="13" t="n">
        <f aca="false">1600</f>
        <v>1600</v>
      </c>
      <c r="J8" s="14" t="n">
        <v>1600</v>
      </c>
      <c r="K8" s="15" t="n">
        <f aca="false">IF(ISNUMBER(I8),IF(ISNUMBER(J8),J8-I8,""),"–")</f>
        <v>0</v>
      </c>
    </row>
    <row r="9" customFormat="false" ht="30" hidden="false" customHeight="true" outlineLevel="0" collapsed="false">
      <c r="A9" s="16" t="n">
        <v>6</v>
      </c>
      <c r="B9" s="17" t="s">
        <v>28</v>
      </c>
      <c r="C9" s="18" t="s">
        <v>14</v>
      </c>
      <c r="D9" s="19" t="s">
        <v>15</v>
      </c>
      <c r="E9" s="19" t="s">
        <v>16</v>
      </c>
      <c r="F9" s="20" t="s">
        <v>17</v>
      </c>
      <c r="G9" s="21"/>
      <c r="H9" s="22" t="n">
        <v>7</v>
      </c>
      <c r="I9" s="23" t="n">
        <f aca="false">IF(H9="–","–",IFERROR(VLOOKUP(H9,Tabeller!$A$2:$B$35,2,TRUE()),2960))</f>
        <v>2960</v>
      </c>
      <c r="J9" s="24" t="n">
        <v>2960</v>
      </c>
      <c r="K9" s="25" t="n">
        <f aca="false">IF(ISNUMBER(I9),IF(ISNUMBER(J9),J9-I9,""),"–")</f>
        <v>0</v>
      </c>
    </row>
    <row r="10" customFormat="false" ht="30" hidden="false" customHeight="true" outlineLevel="0" collapsed="false">
      <c r="A10" s="6" t="n">
        <v>7</v>
      </c>
      <c r="B10" s="7" t="s">
        <v>29</v>
      </c>
      <c r="C10" s="8" t="s">
        <v>14</v>
      </c>
      <c r="D10" s="19" t="s">
        <v>15</v>
      </c>
      <c r="E10" s="19" t="s">
        <v>16</v>
      </c>
      <c r="F10" s="26" t="s">
        <v>17</v>
      </c>
      <c r="G10" s="27" t="s">
        <v>30</v>
      </c>
      <c r="H10" s="28" t="n">
        <v>110</v>
      </c>
      <c r="I10" s="13" t="n">
        <v>3580</v>
      </c>
      <c r="J10" s="14" t="n">
        <v>3580</v>
      </c>
      <c r="K10" s="15" t="n">
        <f aca="false">IF(ISNUMBER(I10),IF(ISNUMBER(J10),J10-I10,""),"–")</f>
        <v>0</v>
      </c>
    </row>
    <row r="11" customFormat="false" ht="30" hidden="false" customHeight="true" outlineLevel="0" collapsed="false">
      <c r="A11" s="16" t="n">
        <v>8</v>
      </c>
      <c r="B11" s="17" t="s">
        <v>31</v>
      </c>
      <c r="C11" s="18" t="s">
        <v>14</v>
      </c>
      <c r="D11" s="19" t="s">
        <v>32</v>
      </c>
      <c r="E11" s="19" t="s">
        <v>33</v>
      </c>
      <c r="F11" s="20" t="s">
        <v>34</v>
      </c>
      <c r="G11" s="21" t="s">
        <v>35</v>
      </c>
      <c r="H11" s="22" t="n">
        <v>206</v>
      </c>
      <c r="I11" s="23" t="n">
        <f aca="false">IF(H11="–","–",IFERROR(VLOOKUP(H11,Tabeller!$A$2:$B$35,2,TRUE()),2960)+3*199)</f>
        <v>5267</v>
      </c>
      <c r="J11" s="24" t="n">
        <v>5267</v>
      </c>
      <c r="K11" s="25" t="n">
        <f aca="false">IF(ISNUMBER(I11),IF(ISNUMBER(J11),J11-I11,""),"–")</f>
        <v>0</v>
      </c>
    </row>
    <row r="12" customFormat="false" ht="30" hidden="false" customHeight="true" outlineLevel="0" collapsed="false">
      <c r="A12" s="6" t="n">
        <v>9</v>
      </c>
      <c r="B12" s="7" t="s">
        <v>36</v>
      </c>
      <c r="C12" s="8" t="s">
        <v>14</v>
      </c>
      <c r="D12" s="9" t="s">
        <v>37</v>
      </c>
      <c r="E12" s="9" t="s">
        <v>38</v>
      </c>
      <c r="F12" s="10" t="s">
        <v>39</v>
      </c>
      <c r="G12" s="11" t="s">
        <v>40</v>
      </c>
      <c r="H12" s="12" t="n">
        <v>46</v>
      </c>
      <c r="I12" s="13" t="n">
        <f aca="false">0</f>
        <v>0</v>
      </c>
      <c r="J12" s="14" t="n">
        <v>0</v>
      </c>
      <c r="K12" s="15" t="n">
        <f aca="false">IF(ISNUMBER(I12),IF(ISNUMBER(J12),J12-I12,""),"–")</f>
        <v>0</v>
      </c>
    </row>
    <row r="13" customFormat="false" ht="30" hidden="false" customHeight="true" outlineLevel="0" collapsed="false">
      <c r="A13" s="16" t="n">
        <v>10</v>
      </c>
      <c r="B13" s="17" t="s">
        <v>41</v>
      </c>
      <c r="C13" s="18" t="s">
        <v>14</v>
      </c>
      <c r="D13" s="19" t="s">
        <v>37</v>
      </c>
      <c r="E13" s="19" t="s">
        <v>38</v>
      </c>
      <c r="F13" s="20" t="s">
        <v>39</v>
      </c>
      <c r="G13" s="21" t="s">
        <v>42</v>
      </c>
      <c r="H13" s="22" t="n">
        <v>40</v>
      </c>
      <c r="I13" s="23" t="n">
        <f aca="false">8880</f>
        <v>8880</v>
      </c>
      <c r="J13" s="24" t="n">
        <v>8880</v>
      </c>
      <c r="K13" s="25" t="n">
        <f aca="false">IF(ISNUMBER(I13),IF(ISNUMBER(J13),J13-I13,""),"–")</f>
        <v>0</v>
      </c>
    </row>
    <row r="14" customFormat="false" ht="30" hidden="false" customHeight="true" outlineLevel="0" collapsed="false">
      <c r="A14" s="6" t="n">
        <v>11</v>
      </c>
      <c r="B14" s="7" t="s">
        <v>43</v>
      </c>
      <c r="C14" s="8" t="s">
        <v>14</v>
      </c>
      <c r="D14" s="9" t="s">
        <v>44</v>
      </c>
      <c r="E14" s="9" t="s">
        <v>45</v>
      </c>
      <c r="F14" s="10" t="s">
        <v>17</v>
      </c>
      <c r="G14" s="11"/>
      <c r="H14" s="28" t="n">
        <v>117</v>
      </c>
      <c r="I14" s="29" t="n">
        <f aca="false">IF(H14="–","–",IFERROR(VLOOKUP(H14,Tabeller!$A$2:$B$35,2,TRUE()),2960)+1439)</f>
        <v>5019</v>
      </c>
      <c r="J14" s="30" t="n">
        <v>5019</v>
      </c>
      <c r="K14" s="28" t="n">
        <f aca="false">IF(ISNUMBER(I14),IF(ISNUMBER(J14),J14-I14,""),"–")</f>
        <v>0</v>
      </c>
    </row>
    <row r="15" customFormat="false" ht="30" hidden="false" customHeight="true" outlineLevel="0" collapsed="false">
      <c r="A15" s="16" t="n">
        <v>12</v>
      </c>
      <c r="B15" s="17" t="s">
        <v>46</v>
      </c>
      <c r="C15" s="18" t="s">
        <v>14</v>
      </c>
      <c r="D15" s="19" t="s">
        <v>47</v>
      </c>
      <c r="E15" s="19" t="s">
        <v>48</v>
      </c>
      <c r="F15" s="20" t="s">
        <v>49</v>
      </c>
      <c r="G15" s="21"/>
      <c r="H15" s="22" t="n">
        <v>309</v>
      </c>
      <c r="I15" s="23" t="n">
        <f aca="false">IF(H15="–","–",IFERROR(VLOOKUP(H15,Tabeller!$A$2:$B$35,2,TRUE()),2960)+199)</f>
        <v>7029</v>
      </c>
      <c r="J15" s="24" t="n">
        <v>7029</v>
      </c>
      <c r="K15" s="25" t="n">
        <f aca="false">IF(ISNUMBER(I15),IF(ISNUMBER(J15),J15-I15,""),"–")</f>
        <v>0</v>
      </c>
    </row>
    <row r="16" customFormat="false" ht="30" hidden="false" customHeight="true" outlineLevel="0" collapsed="false">
      <c r="A16" s="6" t="n">
        <v>13</v>
      </c>
      <c r="B16" s="7" t="s">
        <v>50</v>
      </c>
      <c r="C16" s="8" t="s">
        <v>14</v>
      </c>
      <c r="D16" s="9" t="s">
        <v>51</v>
      </c>
      <c r="E16" s="9" t="s">
        <v>52</v>
      </c>
      <c r="F16" s="10" t="s">
        <v>17</v>
      </c>
      <c r="G16" s="11" t="s">
        <v>53</v>
      </c>
      <c r="H16" s="12" t="n">
        <v>83</v>
      </c>
      <c r="I16" s="13" t="n">
        <f aca="false">IF(H16="–","–",IFERROR(VLOOKUP(H16,Tabeller!$A$2:$B$35,2,TRUE()),2960)+360)</f>
        <v>3320</v>
      </c>
      <c r="J16" s="14" t="n">
        <v>3320</v>
      </c>
      <c r="K16" s="15" t="n">
        <f aca="false">IF(ISNUMBER(I16),IF(ISNUMBER(J16),J16-I16,""),"–")</f>
        <v>0</v>
      </c>
    </row>
    <row r="17" customFormat="false" ht="30" hidden="false" customHeight="true" outlineLevel="0" collapsed="false">
      <c r="A17" s="16" t="n">
        <v>14</v>
      </c>
      <c r="B17" s="17" t="s">
        <v>54</v>
      </c>
      <c r="C17" s="18" t="s">
        <v>14</v>
      </c>
      <c r="D17" s="19" t="s">
        <v>15</v>
      </c>
      <c r="E17" s="19" t="s">
        <v>16</v>
      </c>
      <c r="F17" s="20" t="s">
        <v>17</v>
      </c>
      <c r="G17" s="21"/>
      <c r="H17" s="22" t="n">
        <v>65</v>
      </c>
      <c r="I17" s="23" t="n">
        <f aca="false">IF(H17="–","–",IFERROR(VLOOKUP(H17,Tabeller!$A$2:$B$35,2,TRUE()),2960))</f>
        <v>2960</v>
      </c>
      <c r="J17" s="24" t="n">
        <v>2960</v>
      </c>
      <c r="K17" s="25" t="n">
        <f aca="false">IF(ISNUMBER(I17),IF(ISNUMBER(J17),J17-I17,""),"–")</f>
        <v>0</v>
      </c>
    </row>
    <row r="18" customFormat="false" ht="30" hidden="false" customHeight="true" outlineLevel="0" collapsed="false">
      <c r="A18" s="6" t="n">
        <v>15</v>
      </c>
      <c r="B18" s="7" t="s">
        <v>55</v>
      </c>
      <c r="C18" s="8" t="s">
        <v>14</v>
      </c>
      <c r="D18" s="9" t="s">
        <v>56</v>
      </c>
      <c r="E18" s="9" t="s">
        <v>57</v>
      </c>
      <c r="F18" s="10" t="s">
        <v>17</v>
      </c>
      <c r="G18" s="11" t="s">
        <v>58</v>
      </c>
      <c r="H18" s="12" t="n">
        <v>15</v>
      </c>
      <c r="I18" s="13" t="n">
        <f aca="false">IF(H18="–","–",ROUND(IFERROR(VLOOKUP(H18,Tabeller!$A$2:$B$35,2,TRUE()),2960)*0.9,0))</f>
        <v>2664</v>
      </c>
      <c r="J18" s="14" t="n">
        <v>2664</v>
      </c>
      <c r="K18" s="15" t="n">
        <f aca="false">IF(ISNUMBER(I18),IF(ISNUMBER(J18),J18-I18,""),"–")</f>
        <v>0</v>
      </c>
    </row>
    <row r="19" customFormat="false" ht="30" hidden="false" customHeight="true" outlineLevel="0" collapsed="false">
      <c r="A19" s="16" t="n">
        <v>16</v>
      </c>
      <c r="B19" s="17" t="s">
        <v>59</v>
      </c>
      <c r="C19" s="18" t="s">
        <v>14</v>
      </c>
      <c r="D19" s="19" t="s">
        <v>15</v>
      </c>
      <c r="E19" s="19" t="s">
        <v>16</v>
      </c>
      <c r="F19" s="20" t="s">
        <v>17</v>
      </c>
      <c r="G19" s="21"/>
      <c r="H19" s="22" t="n">
        <v>49</v>
      </c>
      <c r="I19" s="23" t="n">
        <f aca="false">IF(H19="–","–",IFERROR(VLOOKUP(H19,Tabeller!$A$2:$B$35,2,TRUE()),2960))</f>
        <v>2960</v>
      </c>
      <c r="J19" s="24" t="n">
        <v>2960</v>
      </c>
      <c r="K19" s="25" t="n">
        <f aca="false">IF(ISNUMBER(I19),IF(ISNUMBER(J19),J19-I19,""),"–")</f>
        <v>0</v>
      </c>
    </row>
    <row r="20" customFormat="false" ht="30" hidden="false" customHeight="true" outlineLevel="0" collapsed="false">
      <c r="A20" s="6" t="n">
        <v>17</v>
      </c>
      <c r="B20" s="7" t="s">
        <v>60</v>
      </c>
      <c r="C20" s="8" t="s">
        <v>14</v>
      </c>
      <c r="D20" s="9" t="s">
        <v>61</v>
      </c>
      <c r="E20" s="9" t="s">
        <v>62</v>
      </c>
      <c r="F20" s="10" t="s">
        <v>17</v>
      </c>
      <c r="G20" s="11"/>
      <c r="H20" s="12" t="n">
        <v>68</v>
      </c>
      <c r="I20" s="13" t="n">
        <f aca="false">IF(H20="–","–",IFERROR(VLOOKUP(H20,Tabeller!$A$2:$B$35,2,TRUE()),2960)+199)</f>
        <v>3159</v>
      </c>
      <c r="J20" s="14" t="n">
        <v>3159</v>
      </c>
      <c r="K20" s="15" t="n">
        <f aca="false">IF(ISNUMBER(I20),IF(ISNUMBER(J20),J20-I20,""),"–")</f>
        <v>0</v>
      </c>
    </row>
    <row r="21" customFormat="false" ht="30" hidden="false" customHeight="true" outlineLevel="0" collapsed="false">
      <c r="A21" s="16" t="n">
        <v>18</v>
      </c>
      <c r="B21" s="17" t="s">
        <v>63</v>
      </c>
      <c r="C21" s="18" t="s">
        <v>14</v>
      </c>
      <c r="D21" s="19" t="s">
        <v>15</v>
      </c>
      <c r="E21" s="19" t="s">
        <v>16</v>
      </c>
      <c r="F21" s="20" t="s">
        <v>17</v>
      </c>
      <c r="G21" s="21"/>
      <c r="H21" s="22" t="n">
        <v>47</v>
      </c>
      <c r="I21" s="23" t="n">
        <f aca="false">IF(H21="–","–",IFERROR(VLOOKUP(H21,Tabeller!$A$2:$B$35,2,TRUE()),2960))</f>
        <v>2960</v>
      </c>
      <c r="J21" s="24" t="n">
        <v>2960</v>
      </c>
      <c r="K21" s="25" t="n">
        <f aca="false">IF(ISNUMBER(I21),IF(ISNUMBER(J21),J21-I21,""),"–")</f>
        <v>0</v>
      </c>
    </row>
    <row r="22" customFormat="false" ht="30" hidden="false" customHeight="true" outlineLevel="0" collapsed="false">
      <c r="A22" s="6" t="n">
        <v>19</v>
      </c>
      <c r="B22" s="7" t="s">
        <v>64</v>
      </c>
      <c r="C22" s="8" t="s">
        <v>14</v>
      </c>
      <c r="D22" s="9" t="s">
        <v>15</v>
      </c>
      <c r="E22" s="9" t="s">
        <v>16</v>
      </c>
      <c r="F22" s="10" t="s">
        <v>17</v>
      </c>
      <c r="G22" s="11"/>
      <c r="H22" s="12" t="n">
        <v>14</v>
      </c>
      <c r="I22" s="13" t="n">
        <f aca="false">IF(H22="–","–",IFERROR(VLOOKUP(H22,Tabeller!$A$2:$B$35,2,TRUE()),2960))</f>
        <v>2960</v>
      </c>
      <c r="J22" s="14" t="n">
        <v>2960</v>
      </c>
      <c r="K22" s="15" t="n">
        <f aca="false">IF(ISNUMBER(I22),IF(ISNUMBER(J22),J22-I22,""),"–")</f>
        <v>0</v>
      </c>
    </row>
    <row r="23" customFormat="false" ht="30" hidden="false" customHeight="true" outlineLevel="0" collapsed="false">
      <c r="A23" s="16" t="n">
        <v>20</v>
      </c>
      <c r="B23" s="17" t="s">
        <v>65</v>
      </c>
      <c r="C23" s="18" t="s">
        <v>14</v>
      </c>
      <c r="D23" s="19" t="s">
        <v>15</v>
      </c>
      <c r="E23" s="19" t="s">
        <v>16</v>
      </c>
      <c r="F23" s="20" t="s">
        <v>17</v>
      </c>
      <c r="G23" s="31"/>
      <c r="H23" s="22" t="n">
        <v>175</v>
      </c>
      <c r="I23" s="23" t="n">
        <f aca="false">IF(H23="–","–",IFERROR(VLOOKUP(H23,Tabeller!$A$2:$B$35,2,TRUE()),2960))</f>
        <v>4090</v>
      </c>
      <c r="J23" s="24" t="n">
        <v>4090</v>
      </c>
      <c r="K23" s="25" t="n">
        <f aca="false">IF(ISNUMBER(I23),IF(ISNUMBER(J23),J23-I23,""),"–")</f>
        <v>0</v>
      </c>
    </row>
    <row r="24" customFormat="false" ht="30" hidden="false" customHeight="true" outlineLevel="0" collapsed="false">
      <c r="A24" s="6" t="n">
        <v>21</v>
      </c>
      <c r="B24" s="7" t="s">
        <v>66</v>
      </c>
      <c r="C24" s="8" t="s">
        <v>14</v>
      </c>
      <c r="D24" s="9" t="s">
        <v>15</v>
      </c>
      <c r="E24" s="9" t="s">
        <v>16</v>
      </c>
      <c r="F24" s="10" t="s">
        <v>17</v>
      </c>
      <c r="G24" s="11"/>
      <c r="H24" s="12" t="n">
        <v>128</v>
      </c>
      <c r="I24" s="13" t="n">
        <v>3580</v>
      </c>
      <c r="J24" s="14" t="n">
        <v>3580</v>
      </c>
      <c r="K24" s="15" t="n">
        <f aca="false">IF(ISNUMBER(I24),IF(ISNUMBER(J24),J24-I24,""),"–")</f>
        <v>0</v>
      </c>
    </row>
    <row r="25" customFormat="false" ht="30" hidden="false" customHeight="true" outlineLevel="0" collapsed="false">
      <c r="A25" s="16" t="n">
        <v>22</v>
      </c>
      <c r="B25" s="17" t="s">
        <v>67</v>
      </c>
      <c r="C25" s="18" t="s">
        <v>14</v>
      </c>
      <c r="D25" s="19" t="s">
        <v>47</v>
      </c>
      <c r="E25" s="19" t="s">
        <v>68</v>
      </c>
      <c r="F25" s="20" t="s">
        <v>17</v>
      </c>
      <c r="G25" s="21"/>
      <c r="H25" s="22" t="n">
        <v>13</v>
      </c>
      <c r="I25" s="23" t="n">
        <v>3159</v>
      </c>
      <c r="J25" s="24" t="n">
        <v>3159</v>
      </c>
      <c r="K25" s="25" t="n">
        <f aca="false">IF(ISNUMBER(I25),IF(ISNUMBER(J25),J25-I25,""),"–")</f>
        <v>0</v>
      </c>
    </row>
    <row r="26" customFormat="false" ht="30" hidden="false" customHeight="true" outlineLevel="0" collapsed="false">
      <c r="A26" s="6" t="n">
        <v>23</v>
      </c>
      <c r="B26" s="7" t="s">
        <v>69</v>
      </c>
      <c r="C26" s="8" t="s">
        <v>14</v>
      </c>
      <c r="D26" s="9" t="s">
        <v>15</v>
      </c>
      <c r="E26" s="9" t="s">
        <v>16</v>
      </c>
      <c r="F26" s="10" t="s">
        <v>17</v>
      </c>
      <c r="G26" s="11"/>
      <c r="H26" s="12" t="n">
        <v>74</v>
      </c>
      <c r="I26" s="13" t="n">
        <f aca="false">IF(H26="–","–",IFERROR(VLOOKUP(H26,Tabeller!$A$2:$B$35,2,TRUE()),2960))</f>
        <v>2960</v>
      </c>
      <c r="J26" s="14" t="n">
        <v>2960</v>
      </c>
      <c r="K26" s="15" t="n">
        <f aca="false">IF(ISNUMBER(I26),IF(ISNUMBER(J26),J26-I26,""),"–")</f>
        <v>0</v>
      </c>
    </row>
    <row r="27" customFormat="false" ht="30" hidden="false" customHeight="true" outlineLevel="0" collapsed="false">
      <c r="A27" s="16" t="n">
        <v>24</v>
      </c>
      <c r="B27" s="17" t="s">
        <v>70</v>
      </c>
      <c r="C27" s="18" t="s">
        <v>14</v>
      </c>
      <c r="D27" s="19" t="s">
        <v>15</v>
      </c>
      <c r="E27" s="19" t="s">
        <v>16</v>
      </c>
      <c r="F27" s="20" t="s">
        <v>17</v>
      </c>
      <c r="G27" s="21" t="s">
        <v>71</v>
      </c>
      <c r="H27" s="22" t="n">
        <v>42</v>
      </c>
      <c r="I27" s="23" t="n">
        <f aca="false">IF(H27="–","–",IFERROR(VLOOKUP(H27,Tabeller!$A$2:$B$35,2,TRUE()),2960))</f>
        <v>2960</v>
      </c>
      <c r="J27" s="24" t="n">
        <v>2960</v>
      </c>
      <c r="K27" s="25" t="n">
        <f aca="false">IF(ISNUMBER(I27),IF(ISNUMBER(J27),J27-I27,""),"–")</f>
        <v>0</v>
      </c>
    </row>
    <row r="28" customFormat="false" ht="30" hidden="false" customHeight="true" outlineLevel="0" collapsed="false">
      <c r="A28" s="6" t="n">
        <v>25</v>
      </c>
      <c r="B28" s="32" t="s">
        <v>72</v>
      </c>
      <c r="C28" s="8" t="s">
        <v>14</v>
      </c>
      <c r="D28" s="9" t="s">
        <v>15</v>
      </c>
      <c r="E28" s="9" t="s">
        <v>16</v>
      </c>
      <c r="F28" s="10" t="s">
        <v>17</v>
      </c>
      <c r="G28" s="27" t="s">
        <v>73</v>
      </c>
      <c r="H28" s="12" t="n">
        <v>42</v>
      </c>
      <c r="I28" s="13" t="n">
        <f aca="false">IF(H28="–","–",IFERROR(VLOOKUP(H28,Tabeller!$A$2:$B$35,2,TRUE()),2960))</f>
        <v>2960</v>
      </c>
      <c r="J28" s="14" t="n">
        <v>2960</v>
      </c>
      <c r="K28" s="15" t="n">
        <f aca="false">IF(ISNUMBER(I28),IF(ISNUMBER(J28),J28-I28,""),"–")</f>
        <v>0</v>
      </c>
    </row>
    <row r="30" customFormat="false" ht="18" hidden="false" customHeight="true" outlineLevel="0" collapsed="false">
      <c r="A30" s="33" t="s">
        <v>74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customFormat="false" ht="30" hidden="false" customHeight="true" outlineLevel="0" collapsed="false">
      <c r="A31" s="6" t="n">
        <v>26</v>
      </c>
      <c r="B31" s="7" t="s">
        <v>75</v>
      </c>
      <c r="C31" s="8" t="s">
        <v>14</v>
      </c>
      <c r="D31" s="9" t="s">
        <v>76</v>
      </c>
      <c r="E31" s="9" t="s">
        <v>77</v>
      </c>
      <c r="F31" s="10" t="s">
        <v>78</v>
      </c>
      <c r="G31" s="11" t="s">
        <v>79</v>
      </c>
      <c r="H31" s="28" t="n">
        <v>20</v>
      </c>
      <c r="I31" s="13" t="n">
        <f aca="false">IF(H31="–",920,920+MAX(0,H31-20)*46)</f>
        <v>920</v>
      </c>
      <c r="J31" s="14" t="n">
        <v>920</v>
      </c>
      <c r="K31" s="15" t="n">
        <f aca="false">IF(ISNUMBER(I31),IF(ISNUMBER(J31),J31-I31,""),"–")</f>
        <v>0</v>
      </c>
    </row>
    <row r="32" customFormat="false" ht="30" hidden="false" customHeight="true" outlineLevel="0" collapsed="false">
      <c r="A32" s="16" t="n">
        <v>27</v>
      </c>
      <c r="B32" s="17" t="s">
        <v>80</v>
      </c>
      <c r="C32" s="18" t="s">
        <v>14</v>
      </c>
      <c r="D32" s="19" t="s">
        <v>81</v>
      </c>
      <c r="E32" s="34" t="s">
        <v>82</v>
      </c>
      <c r="F32" s="20" t="s">
        <v>83</v>
      </c>
      <c r="G32" s="21" t="s">
        <v>84</v>
      </c>
      <c r="H32" s="22" t="n">
        <v>457</v>
      </c>
      <c r="I32" s="23" t="n">
        <f aca="false">IF(H32="–","–",17000+MAX(0,H32-800)*26)</f>
        <v>17000</v>
      </c>
      <c r="J32" s="24" t="n">
        <v>17000</v>
      </c>
      <c r="K32" s="25" t="n">
        <f aca="false">IF(ISNUMBER(I32),IF(ISNUMBER(J32),J32-I32,""),"–")</f>
        <v>0</v>
      </c>
    </row>
    <row r="33" customFormat="false" ht="30" hidden="false" customHeight="true" outlineLevel="0" collapsed="false">
      <c r="A33" s="6" t="n">
        <v>28</v>
      </c>
      <c r="B33" s="7" t="s">
        <v>85</v>
      </c>
      <c r="C33" s="8" t="s">
        <v>14</v>
      </c>
      <c r="D33" s="9" t="s">
        <v>86</v>
      </c>
      <c r="E33" s="9" t="s">
        <v>87</v>
      </c>
      <c r="F33" s="10" t="s">
        <v>88</v>
      </c>
      <c r="G33" s="27" t="s">
        <v>89</v>
      </c>
      <c r="H33" s="28" t="n">
        <v>1662</v>
      </c>
      <c r="I33" s="13" t="n">
        <v>16620</v>
      </c>
      <c r="J33" s="14" t="n">
        <v>16620</v>
      </c>
      <c r="K33" s="25" t="n">
        <f aca="false">IF(ISNUMBER(I33),IF(ISNUMBER(J33),J33-I33,""),"–")</f>
        <v>0</v>
      </c>
    </row>
    <row r="34" customFormat="false" ht="30" hidden="false" customHeight="true" outlineLevel="0" collapsed="false">
      <c r="A34" s="16" t="n">
        <v>29</v>
      </c>
      <c r="B34" s="17" t="s">
        <v>90</v>
      </c>
      <c r="C34" s="18" t="s">
        <v>14</v>
      </c>
      <c r="D34" s="19" t="s">
        <v>91</v>
      </c>
      <c r="E34" s="19" t="s">
        <v>92</v>
      </c>
      <c r="F34" s="20" t="s">
        <v>93</v>
      </c>
      <c r="G34" s="21"/>
      <c r="H34" s="22" t="n">
        <v>9</v>
      </c>
      <c r="I34" s="23" t="n">
        <f aca="false">IF(H34="–","–",195+H34*29)</f>
        <v>456</v>
      </c>
      <c r="J34" s="24" t="n">
        <v>456</v>
      </c>
      <c r="K34" s="25" t="n">
        <f aca="false">IF(ISNUMBER(I34),IF(ISNUMBER(J34),J34-I34,""),"–")</f>
        <v>0</v>
      </c>
    </row>
    <row r="35" customFormat="false" ht="30" hidden="false" customHeight="true" outlineLevel="0" collapsed="false">
      <c r="A35" s="6" t="n">
        <v>30</v>
      </c>
      <c r="B35" s="7" t="s">
        <v>94</v>
      </c>
      <c r="C35" s="8" t="s">
        <v>14</v>
      </c>
      <c r="D35" s="9" t="s">
        <v>95</v>
      </c>
      <c r="E35" s="9" t="s">
        <v>96</v>
      </c>
      <c r="F35" s="10" t="s">
        <v>78</v>
      </c>
      <c r="G35" s="11" t="s">
        <v>97</v>
      </c>
      <c r="H35" s="12" t="n">
        <v>25</v>
      </c>
      <c r="I35" s="13" t="n">
        <v>1050</v>
      </c>
      <c r="J35" s="14" t="n">
        <v>1050</v>
      </c>
      <c r="K35" s="15" t="n">
        <f aca="false">IF(ISNUMBER(I35),IF(ISNUMBER(J35),J35-I35,""),"–")</f>
        <v>0</v>
      </c>
    </row>
    <row r="36" customFormat="false" ht="30" hidden="false" customHeight="true" outlineLevel="0" collapsed="false">
      <c r="A36" s="16" t="n">
        <v>31</v>
      </c>
      <c r="B36" s="17" t="s">
        <v>98</v>
      </c>
      <c r="C36" s="18" t="s">
        <v>14</v>
      </c>
      <c r="D36" s="19" t="s">
        <v>99</v>
      </c>
      <c r="E36" s="19" t="s">
        <v>99</v>
      </c>
      <c r="F36" s="20" t="s">
        <v>78</v>
      </c>
      <c r="G36" s="21" t="s">
        <v>100</v>
      </c>
      <c r="H36" s="22" t="n">
        <v>0</v>
      </c>
      <c r="I36" s="23" t="n">
        <f aca="false">805</f>
        <v>805</v>
      </c>
      <c r="J36" s="24" t="n">
        <v>805</v>
      </c>
      <c r="K36" s="25" t="n">
        <f aca="false">IF(ISNUMBER(I36),IF(ISNUMBER(J36),J36-I36,""),"–")</f>
        <v>0</v>
      </c>
    </row>
    <row r="37" customFormat="false" ht="30" hidden="false" customHeight="true" outlineLevel="0" collapsed="false">
      <c r="A37" s="6" t="n">
        <v>32</v>
      </c>
      <c r="B37" s="7" t="s">
        <v>101</v>
      </c>
      <c r="C37" s="8" t="s">
        <v>14</v>
      </c>
      <c r="D37" s="9" t="s">
        <v>102</v>
      </c>
      <c r="E37" s="9" t="s">
        <v>102</v>
      </c>
      <c r="F37" s="10" t="s">
        <v>78</v>
      </c>
      <c r="G37" s="11" t="s">
        <v>103</v>
      </c>
      <c r="H37" s="12" t="n">
        <v>36</v>
      </c>
      <c r="I37" s="13" t="n">
        <f aca="false">IF(H37="–","–",700+MAX(0,H37-20)*36+3*139)</f>
        <v>1693</v>
      </c>
      <c r="J37" s="14" t="n">
        <v>1693</v>
      </c>
      <c r="K37" s="15" t="n">
        <f aca="false">IF(ISNUMBER(I37),IF(ISNUMBER(J37),J37-I37,""),"–")</f>
        <v>0</v>
      </c>
    </row>
    <row r="38" customFormat="false" ht="30" hidden="false" customHeight="true" outlineLevel="0" collapsed="false">
      <c r="A38" s="16" t="n">
        <v>33</v>
      </c>
      <c r="B38" s="17" t="s">
        <v>104</v>
      </c>
      <c r="C38" s="18" t="s">
        <v>14</v>
      </c>
      <c r="D38" s="19" t="s">
        <v>105</v>
      </c>
      <c r="E38" s="19" t="s">
        <v>105</v>
      </c>
      <c r="F38" s="20" t="s">
        <v>106</v>
      </c>
      <c r="G38" s="21"/>
      <c r="H38" s="22" t="n">
        <v>57</v>
      </c>
      <c r="I38" s="23" t="n">
        <f aca="false">IF(H38="–","–",1180+MAX(0,H38-40)*27)</f>
        <v>1639</v>
      </c>
      <c r="J38" s="24" t="n">
        <v>1639</v>
      </c>
      <c r="K38" s="25" t="n">
        <f aca="false">IF(ISNUMBER(I38),IF(ISNUMBER(J38),J38-I38,""),"–")</f>
        <v>0</v>
      </c>
    </row>
    <row r="39" customFormat="false" ht="30" hidden="false" customHeight="true" outlineLevel="0" collapsed="false">
      <c r="A39" s="6" t="n">
        <v>34</v>
      </c>
      <c r="B39" s="7" t="s">
        <v>107</v>
      </c>
      <c r="C39" s="8" t="s">
        <v>14</v>
      </c>
      <c r="D39" s="9" t="s">
        <v>108</v>
      </c>
      <c r="E39" s="9" t="s">
        <v>108</v>
      </c>
      <c r="F39" s="10" t="s">
        <v>78</v>
      </c>
      <c r="G39" s="11"/>
      <c r="H39" s="12" t="n">
        <v>19</v>
      </c>
      <c r="I39" s="13" t="n">
        <f aca="false">IF(H39="–","–",860+MAX(0,H39-20)*42)</f>
        <v>860</v>
      </c>
      <c r="J39" s="14" t="n">
        <v>860</v>
      </c>
      <c r="K39" s="15" t="n">
        <f aca="false">IF(ISNUMBER(I39),IF(ISNUMBER(J39),J39-I39,""),"–")</f>
        <v>0</v>
      </c>
    </row>
    <row r="40" customFormat="false" ht="30" hidden="false" customHeight="true" outlineLevel="0" collapsed="false">
      <c r="A40" s="16" t="n">
        <v>35</v>
      </c>
      <c r="B40" s="17" t="s">
        <v>109</v>
      </c>
      <c r="C40" s="18" t="s">
        <v>14</v>
      </c>
      <c r="D40" s="19" t="s">
        <v>110</v>
      </c>
      <c r="E40" s="19" t="s">
        <v>111</v>
      </c>
      <c r="F40" s="20" t="s">
        <v>112</v>
      </c>
      <c r="G40" s="21"/>
      <c r="H40" s="22" t="n">
        <v>93</v>
      </c>
      <c r="I40" s="23" t="n">
        <f aca="false">IF(H40="–","–",2900+MAX(0,H40-200)*18)</f>
        <v>2900</v>
      </c>
      <c r="J40" s="24" t="n">
        <v>2900</v>
      </c>
      <c r="K40" s="25" t="n">
        <f aca="false">IF(ISNUMBER(I40),IF(ISNUMBER(J40),J40-I40,""),"–")</f>
        <v>0</v>
      </c>
    </row>
    <row r="41" customFormat="false" ht="30" hidden="false" customHeight="true" outlineLevel="0" collapsed="false">
      <c r="A41" s="6" t="n">
        <v>36</v>
      </c>
      <c r="B41" s="7" t="s">
        <v>113</v>
      </c>
      <c r="C41" s="8" t="s">
        <v>14</v>
      </c>
      <c r="D41" s="9" t="s">
        <v>114</v>
      </c>
      <c r="E41" s="9" t="s">
        <v>114</v>
      </c>
      <c r="F41" s="10" t="s">
        <v>78</v>
      </c>
      <c r="G41" s="11" t="s">
        <v>115</v>
      </c>
      <c r="H41" s="12" t="n">
        <v>8</v>
      </c>
      <c r="I41" s="13" t="n">
        <f aca="false">IF(H41="–",2000,2000+MAX(0,H41-20)*40)</f>
        <v>2000</v>
      </c>
      <c r="J41" s="14" t="n">
        <v>2000</v>
      </c>
      <c r="K41" s="15" t="n">
        <f aca="false">IF(ISNUMBER(I41),IF(ISNUMBER(J41),J41-I41,""),"–")</f>
        <v>0</v>
      </c>
    </row>
    <row r="42" customFormat="false" ht="30" hidden="false" customHeight="true" outlineLevel="0" collapsed="false">
      <c r="A42" s="16" t="n">
        <v>37</v>
      </c>
      <c r="B42" s="17" t="s">
        <v>116</v>
      </c>
      <c r="C42" s="18" t="s">
        <v>14</v>
      </c>
      <c r="D42" s="19" t="s">
        <v>108</v>
      </c>
      <c r="E42" s="19" t="s">
        <v>108</v>
      </c>
      <c r="F42" s="20" t="s">
        <v>78</v>
      </c>
      <c r="G42" s="21"/>
      <c r="H42" s="22" t="n">
        <v>11</v>
      </c>
      <c r="I42" s="23" t="n">
        <f aca="false">IF(H42="–","–",860+MAX(0,H42-20)*42)</f>
        <v>860</v>
      </c>
      <c r="J42" s="24" t="n">
        <v>860</v>
      </c>
      <c r="K42" s="25" t="n">
        <f aca="false">IF(ISNUMBER(I42),IF(ISNUMBER(J42),J42-I42,""),"–")</f>
        <v>0</v>
      </c>
    </row>
    <row r="43" customFormat="false" ht="30" hidden="false" customHeight="true" outlineLevel="0" collapsed="false">
      <c r="A43" s="6" t="n">
        <v>38</v>
      </c>
      <c r="B43" s="7" t="s">
        <v>117</v>
      </c>
      <c r="C43" s="8" t="s">
        <v>14</v>
      </c>
      <c r="D43" s="9" t="s">
        <v>118</v>
      </c>
      <c r="E43" s="9" t="s">
        <v>118</v>
      </c>
      <c r="F43" s="10" t="s">
        <v>93</v>
      </c>
      <c r="G43" s="11"/>
      <c r="H43" s="12" t="n">
        <v>23</v>
      </c>
      <c r="I43" s="13" t="n">
        <f aca="false">IF(H43="–","–",199+H43*42)</f>
        <v>1165</v>
      </c>
      <c r="J43" s="14" t="n">
        <v>1165</v>
      </c>
      <c r="K43" s="15" t="n">
        <f aca="false">IF(ISNUMBER(I43),IF(ISNUMBER(J43),J43-I43,""),"–")</f>
        <v>0</v>
      </c>
    </row>
    <row r="44" customFormat="false" ht="30" hidden="false" customHeight="true" outlineLevel="0" collapsed="false">
      <c r="A44" s="16" t="n">
        <v>39</v>
      </c>
      <c r="B44" s="17" t="s">
        <v>119</v>
      </c>
      <c r="C44" s="18" t="s">
        <v>14</v>
      </c>
      <c r="D44" s="19" t="s">
        <v>120</v>
      </c>
      <c r="E44" s="19" t="s">
        <v>121</v>
      </c>
      <c r="F44" s="20" t="s">
        <v>122</v>
      </c>
      <c r="G44" s="21" t="s">
        <v>123</v>
      </c>
      <c r="H44" s="22" t="n">
        <v>72</v>
      </c>
      <c r="I44" s="23" t="n">
        <f aca="false">3010</f>
        <v>3010</v>
      </c>
      <c r="J44" s="24" t="n">
        <v>3010</v>
      </c>
      <c r="K44" s="25" t="n">
        <f aca="false">IF(ISNUMBER(I44),IF(ISNUMBER(J44),J44-I44,""),"–")</f>
        <v>0</v>
      </c>
    </row>
    <row r="45" customFormat="false" ht="30" hidden="false" customHeight="true" outlineLevel="0" collapsed="false">
      <c r="A45" s="6" t="n">
        <v>40</v>
      </c>
      <c r="B45" s="7" t="s">
        <v>124</v>
      </c>
      <c r="C45" s="8" t="s">
        <v>14</v>
      </c>
      <c r="D45" s="35" t="s">
        <v>125</v>
      </c>
      <c r="E45" s="35" t="s">
        <v>126</v>
      </c>
      <c r="F45" s="10" t="s">
        <v>127</v>
      </c>
      <c r="G45" s="11"/>
      <c r="H45" s="12" t="n">
        <v>162</v>
      </c>
      <c r="I45" s="13" t="n">
        <v>8110</v>
      </c>
      <c r="J45" s="14" t="n">
        <v>8110</v>
      </c>
      <c r="K45" s="15" t="n">
        <f aca="false">IF(ISNUMBER(I45),IF(ISNUMBER(J45),J45-I45,""),"–")</f>
        <v>0</v>
      </c>
    </row>
    <row r="46" customFormat="false" ht="30" hidden="false" customHeight="true" outlineLevel="0" collapsed="false">
      <c r="A46" s="16" t="n">
        <v>41</v>
      </c>
      <c r="B46" s="17" t="s">
        <v>128</v>
      </c>
      <c r="C46" s="18" t="s">
        <v>14</v>
      </c>
      <c r="D46" s="19" t="s">
        <v>129</v>
      </c>
      <c r="E46" s="19" t="s">
        <v>129</v>
      </c>
      <c r="F46" s="20" t="s">
        <v>93</v>
      </c>
      <c r="G46" s="21"/>
      <c r="H46" s="22" t="n">
        <v>17</v>
      </c>
      <c r="I46" s="23" t="n">
        <f aca="false">IF(H46="–","–",515+H46*42)</f>
        <v>1229</v>
      </c>
      <c r="J46" s="24" t="n">
        <v>1229</v>
      </c>
      <c r="K46" s="25" t="n">
        <f aca="false">IF(ISNUMBER(I46),IF(ISNUMBER(J46),J46-I46,""),"–")</f>
        <v>0</v>
      </c>
    </row>
    <row r="47" customFormat="false" ht="30" hidden="false" customHeight="true" outlineLevel="0" collapsed="false">
      <c r="A47" s="6" t="n">
        <v>42</v>
      </c>
      <c r="B47" s="7" t="s">
        <v>130</v>
      </c>
      <c r="C47" s="8" t="s">
        <v>14</v>
      </c>
      <c r="D47" s="9" t="s">
        <v>131</v>
      </c>
      <c r="E47" s="9" t="s">
        <v>132</v>
      </c>
      <c r="F47" s="10" t="s">
        <v>93</v>
      </c>
      <c r="G47" s="11"/>
      <c r="H47" s="12" t="n">
        <v>11</v>
      </c>
      <c r="I47" s="13" t="n">
        <f aca="false">IF(H47="–","–",199+H47*46)</f>
        <v>705</v>
      </c>
      <c r="J47" s="14" t="n">
        <v>705</v>
      </c>
      <c r="K47" s="15" t="n">
        <f aca="false">IF(ISNUMBER(I47),IF(ISNUMBER(J47),J47-I47,""),"–")</f>
        <v>0</v>
      </c>
    </row>
    <row r="48" customFormat="false" ht="30" hidden="false" customHeight="true" outlineLevel="0" collapsed="false">
      <c r="A48" s="16" t="n">
        <v>43</v>
      </c>
      <c r="B48" s="17" t="s">
        <v>133</v>
      </c>
      <c r="C48" s="18" t="s">
        <v>14</v>
      </c>
      <c r="D48" s="19" t="s">
        <v>134</v>
      </c>
      <c r="E48" s="19" t="s">
        <v>135</v>
      </c>
      <c r="F48" s="20" t="s">
        <v>93</v>
      </c>
      <c r="G48" s="21"/>
      <c r="H48" s="22" t="n">
        <v>4</v>
      </c>
      <c r="I48" s="23" t="n">
        <f aca="false">IF(H48="–","–",199+H48*46)</f>
        <v>383</v>
      </c>
      <c r="J48" s="24" t="n">
        <v>383</v>
      </c>
      <c r="K48" s="25" t="n">
        <f aca="false">IF(ISNUMBER(I48),IF(ISNUMBER(J48),J48-I48,""),"–")</f>
        <v>0</v>
      </c>
    </row>
    <row r="49" customFormat="false" ht="30" hidden="false" customHeight="true" outlineLevel="0" collapsed="false">
      <c r="A49" s="6" t="n">
        <v>44</v>
      </c>
      <c r="B49" s="7" t="s">
        <v>136</v>
      </c>
      <c r="C49" s="8" t="s">
        <v>14</v>
      </c>
      <c r="D49" s="9" t="s">
        <v>137</v>
      </c>
      <c r="E49" s="9" t="s">
        <v>138</v>
      </c>
      <c r="F49" s="10" t="s">
        <v>78</v>
      </c>
      <c r="G49" s="11"/>
      <c r="H49" s="12" t="n">
        <v>21</v>
      </c>
      <c r="I49" s="13" t="n">
        <f aca="false">IF(H49="–","–",880+MAX(0,H49-20)*45)</f>
        <v>925</v>
      </c>
      <c r="J49" s="14" t="n">
        <v>925</v>
      </c>
      <c r="K49" s="15" t="n">
        <f aca="false">IF(ISNUMBER(I49),IF(ISNUMBER(J49),J49-I49,""),"–")</f>
        <v>0</v>
      </c>
    </row>
    <row r="50" customFormat="false" ht="51" hidden="false" customHeight="true" outlineLevel="0" collapsed="false">
      <c r="A50" s="16" t="n">
        <v>45</v>
      </c>
      <c r="B50" s="17" t="s">
        <v>139</v>
      </c>
      <c r="C50" s="18" t="s">
        <v>14</v>
      </c>
      <c r="D50" s="19" t="s">
        <v>140</v>
      </c>
      <c r="E50" s="19" t="s">
        <v>141</v>
      </c>
      <c r="F50" s="20" t="s">
        <v>142</v>
      </c>
      <c r="G50" s="21"/>
      <c r="H50" s="22" t="n">
        <v>71</v>
      </c>
      <c r="I50" s="23" t="n">
        <v>3589</v>
      </c>
      <c r="J50" s="24" t="n">
        <v>3589</v>
      </c>
      <c r="K50" s="25" t="n">
        <f aca="false">IF(ISNUMBER(I50),IF(ISNUMBER(J50),J50-I50,""),"–")</f>
        <v>0</v>
      </c>
    </row>
    <row r="51" customFormat="false" ht="25.5" hidden="false" customHeight="true" outlineLevel="0" collapsed="false">
      <c r="A51" s="6" t="n">
        <v>46</v>
      </c>
      <c r="B51" s="7" t="s">
        <v>143</v>
      </c>
      <c r="C51" s="8" t="s">
        <v>14</v>
      </c>
      <c r="D51" s="9" t="s">
        <v>144</v>
      </c>
      <c r="E51" s="9" t="s">
        <v>144</v>
      </c>
      <c r="F51" s="10" t="s">
        <v>78</v>
      </c>
      <c r="G51" s="11" t="s">
        <v>145</v>
      </c>
      <c r="H51" s="12" t="n">
        <v>2</v>
      </c>
      <c r="I51" s="13" t="n">
        <f aca="false">820</f>
        <v>820</v>
      </c>
      <c r="J51" s="14" t="n">
        <v>820</v>
      </c>
      <c r="K51" s="15" t="n">
        <f aca="false">IF(ISNUMBER(I51),IF(ISNUMBER(J51),J51-I51,""),"–")</f>
        <v>0</v>
      </c>
    </row>
    <row r="53" customFormat="false" ht="18" hidden="false" customHeight="true" outlineLevel="0" collapsed="false">
      <c r="A53" s="5" t="s">
        <v>146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customFormat="false" ht="30" hidden="false" customHeight="true" outlineLevel="0" collapsed="false">
      <c r="A54" s="6" t="n">
        <v>47</v>
      </c>
      <c r="B54" s="7" t="s">
        <v>147</v>
      </c>
      <c r="C54" s="8" t="s">
        <v>14</v>
      </c>
      <c r="D54" s="9" t="s">
        <v>148</v>
      </c>
      <c r="E54" s="9" t="s">
        <v>149</v>
      </c>
      <c r="F54" s="10" t="s">
        <v>150</v>
      </c>
      <c r="G54" s="11"/>
      <c r="H54" s="12" t="n">
        <v>82</v>
      </c>
      <c r="I54" s="13" t="n">
        <f aca="false">IF(H54="–","–",IFERROR(VLOOKUP(H54,Tabeller!$D$2:$E$23,2,TRUE()),1500))</f>
        <v>2280</v>
      </c>
      <c r="J54" s="14" t="n">
        <v>2280</v>
      </c>
      <c r="K54" s="15" t="n">
        <f aca="false">IF(ISNUMBER(I54),IF(ISNUMBER(J54),J54-I54,""),"–")</f>
        <v>0</v>
      </c>
    </row>
    <row r="55" customFormat="false" ht="30" hidden="false" customHeight="true" outlineLevel="0" collapsed="false">
      <c r="A55" s="16" t="n">
        <v>48</v>
      </c>
      <c r="B55" s="17" t="s">
        <v>151</v>
      </c>
      <c r="C55" s="18" t="s">
        <v>14</v>
      </c>
      <c r="D55" s="19" t="s">
        <v>148</v>
      </c>
      <c r="E55" s="19" t="s">
        <v>149</v>
      </c>
      <c r="F55" s="20" t="s">
        <v>150</v>
      </c>
      <c r="G55" s="21" t="s">
        <v>152</v>
      </c>
      <c r="H55" s="22" t="n">
        <v>302</v>
      </c>
      <c r="I55" s="23" t="n">
        <f aca="false">IF(H55="–","–",IFERROR(VLOOKUP(H55,Tabeller!$D$2:$E$23,2,TRUE()),1500))</f>
        <v>6100</v>
      </c>
      <c r="J55" s="24" t="n">
        <v>6100</v>
      </c>
      <c r="K55" s="25" t="n">
        <f aca="false">IF(ISNUMBER(I55),IF(ISNUMBER(J55),J55-I55,""),"–")</f>
        <v>0</v>
      </c>
    </row>
    <row r="56" customFormat="false" ht="30" hidden="false" customHeight="true" outlineLevel="0" collapsed="false">
      <c r="A56" s="6" t="n">
        <v>49</v>
      </c>
      <c r="B56" s="7" t="s">
        <v>153</v>
      </c>
      <c r="C56" s="8" t="s">
        <v>14</v>
      </c>
      <c r="D56" s="9" t="s">
        <v>148</v>
      </c>
      <c r="E56" s="9" t="s">
        <v>149</v>
      </c>
      <c r="F56" s="10" t="s">
        <v>150</v>
      </c>
      <c r="G56" s="11"/>
      <c r="H56" s="12" t="n">
        <v>340</v>
      </c>
      <c r="I56" s="13" t="n">
        <f aca="false">IF(H56="–","–",IFERROR(VLOOKUP(H56,Tabeller!$D$2:$E$23,2,TRUE()),1500))</f>
        <v>6940</v>
      </c>
      <c r="J56" s="14" t="n">
        <v>6940</v>
      </c>
      <c r="K56" s="15" t="n">
        <f aca="false">IF(ISNUMBER(I56),IF(ISNUMBER(J56),J56-I56,""),"–")</f>
        <v>0</v>
      </c>
    </row>
    <row r="57" customFormat="false" ht="30" hidden="false" customHeight="true" outlineLevel="0" collapsed="false">
      <c r="A57" s="16" t="n">
        <v>50</v>
      </c>
      <c r="B57" s="17" t="s">
        <v>154</v>
      </c>
      <c r="C57" s="18" t="s">
        <v>14</v>
      </c>
      <c r="D57" s="19" t="s">
        <v>155</v>
      </c>
      <c r="E57" s="19" t="s">
        <v>156</v>
      </c>
      <c r="F57" s="20" t="s">
        <v>157</v>
      </c>
      <c r="G57" s="21" t="s">
        <v>158</v>
      </c>
      <c r="H57" s="22" t="n">
        <v>94</v>
      </c>
      <c r="I57" s="23" t="n">
        <f aca="false">IF(H57="–","–",IFERROR(VLOOKUP(H57,Tabeller!$D$2:$E$23,2,TRUE()),1500)+199)</f>
        <v>3069</v>
      </c>
      <c r="J57" s="24" t="n">
        <v>3069</v>
      </c>
      <c r="K57" s="25" t="n">
        <f aca="false">IF(ISNUMBER(I57),IF(ISNUMBER(J57),J57-I57,""),"–")</f>
        <v>0</v>
      </c>
    </row>
    <row r="58" customFormat="false" ht="30" hidden="false" customHeight="true" outlineLevel="0" collapsed="false">
      <c r="A58" s="6" t="n">
        <v>51</v>
      </c>
      <c r="B58" s="7" t="s">
        <v>159</v>
      </c>
      <c r="C58" s="8" t="s">
        <v>14</v>
      </c>
      <c r="D58" s="35" t="s">
        <v>160</v>
      </c>
      <c r="E58" s="9" t="s">
        <v>161</v>
      </c>
      <c r="F58" s="10" t="s">
        <v>157</v>
      </c>
      <c r="G58" s="11" t="s">
        <v>162</v>
      </c>
      <c r="H58" s="12" t="n">
        <v>64</v>
      </c>
      <c r="I58" s="13" t="n">
        <f aca="false">IF(H58="–","–",IFERROR(VLOOKUP(H58,Tabeller!$D$2:$E$23,2,TRUE()),1500)+199)</f>
        <v>1699</v>
      </c>
      <c r="J58" s="14" t="n">
        <v>1699</v>
      </c>
      <c r="K58" s="15" t="n">
        <f aca="false">IF(ISNUMBER(I58),IF(ISNUMBER(J58),J58-I58,""),"–")</f>
        <v>0</v>
      </c>
    </row>
    <row r="59" customFormat="false" ht="30" hidden="false" customHeight="true" outlineLevel="0" collapsed="false">
      <c r="A59" s="16" t="n">
        <v>52</v>
      </c>
      <c r="B59" s="17" t="s">
        <v>163</v>
      </c>
      <c r="C59" s="18" t="s">
        <v>14</v>
      </c>
      <c r="D59" s="34" t="s">
        <v>160</v>
      </c>
      <c r="E59" s="19" t="s">
        <v>164</v>
      </c>
      <c r="F59" s="20" t="s">
        <v>157</v>
      </c>
      <c r="G59" s="21" t="s">
        <v>165</v>
      </c>
      <c r="H59" s="22" t="n">
        <v>72</v>
      </c>
      <c r="I59" s="23" t="n">
        <f aca="false">IF(H59="–","–",IFERROR(VLOOKUP(H59,Tabeller!$D$2:$E$23,2,TRUE()),1500)+199)</f>
        <v>2479</v>
      </c>
      <c r="J59" s="24" t="n">
        <v>2479</v>
      </c>
      <c r="K59" s="25" t="n">
        <f aca="false">IF(ISNUMBER(I59),IF(ISNUMBER(J59),J59-I59,""),"–")</f>
        <v>0</v>
      </c>
    </row>
    <row r="60" customFormat="false" ht="30" hidden="false" customHeight="true" outlineLevel="0" collapsed="false">
      <c r="A60" s="6" t="n">
        <v>53</v>
      </c>
      <c r="B60" s="7" t="s">
        <v>166</v>
      </c>
      <c r="C60" s="8" t="s">
        <v>14</v>
      </c>
      <c r="D60" s="35" t="s">
        <v>160</v>
      </c>
      <c r="E60" s="9" t="s">
        <v>167</v>
      </c>
      <c r="F60" s="10" t="s">
        <v>157</v>
      </c>
      <c r="G60" s="11" t="s">
        <v>168</v>
      </c>
      <c r="H60" s="12" t="n">
        <v>72</v>
      </c>
      <c r="I60" s="13" t="n">
        <f aca="false">IF(H60="–","–",IFERROR(VLOOKUP(H60,Tabeller!$D$2:$E$23,2,TRUE()),1500)+199)</f>
        <v>2479</v>
      </c>
      <c r="J60" s="14" t="n">
        <v>2479</v>
      </c>
      <c r="K60" s="15" t="n">
        <f aca="false">IF(ISNUMBER(I60),IF(ISNUMBER(J60),J60-I60,""),"–")</f>
        <v>0</v>
      </c>
    </row>
    <row r="61" customFormat="false" ht="30" hidden="false" customHeight="true" outlineLevel="0" collapsed="false">
      <c r="A61" s="16" t="n">
        <v>54</v>
      </c>
      <c r="B61" s="17" t="s">
        <v>169</v>
      </c>
      <c r="C61" s="18" t="s">
        <v>14</v>
      </c>
      <c r="D61" s="34" t="s">
        <v>160</v>
      </c>
      <c r="E61" s="19" t="s">
        <v>170</v>
      </c>
      <c r="F61" s="20" t="s">
        <v>157</v>
      </c>
      <c r="G61" s="21" t="s">
        <v>171</v>
      </c>
      <c r="H61" s="22" t="n">
        <v>96</v>
      </c>
      <c r="I61" s="23" t="n">
        <f aca="false">IF(H61="–","–",IFERROR(VLOOKUP(H61,Tabeller!$D$2:$E$23,2,TRUE()),1500)+199)</f>
        <v>3069</v>
      </c>
      <c r="J61" s="24" t="n">
        <v>3069</v>
      </c>
      <c r="K61" s="25" t="n">
        <f aca="false">IF(ISNUMBER(I61),IF(ISNUMBER(J61),J61-I61,""),"–")</f>
        <v>0</v>
      </c>
    </row>
    <row r="62" customFormat="false" ht="42" hidden="false" customHeight="true" outlineLevel="0" collapsed="false">
      <c r="A62" s="16" t="n">
        <v>55</v>
      </c>
      <c r="B62" s="17" t="s">
        <v>172</v>
      </c>
      <c r="C62" s="18" t="s">
        <v>14</v>
      </c>
      <c r="D62" s="19" t="s">
        <v>148</v>
      </c>
      <c r="E62" s="19" t="s">
        <v>149</v>
      </c>
      <c r="F62" s="20" t="s">
        <v>150</v>
      </c>
      <c r="G62" s="21" t="s">
        <v>173</v>
      </c>
      <c r="H62" s="22" t="n">
        <v>116</v>
      </c>
      <c r="I62" s="23" t="n">
        <f aca="false">IF(H62="–","–",IFERROR(VLOOKUP(H62,Tabeller!$D$2:$E$23,2,TRUE()),1500))</f>
        <v>3260</v>
      </c>
      <c r="J62" s="24" t="n">
        <v>3260</v>
      </c>
      <c r="K62" s="36" t="n">
        <f aca="false">IF(ISNUMBER(I62),IF(ISNUMBER(J62),J62-I62,""),"–")</f>
        <v>0</v>
      </c>
    </row>
    <row r="63" customFormat="false" ht="30" hidden="false" customHeight="true" outlineLevel="0" collapsed="false">
      <c r="A63" s="16" t="n">
        <v>56</v>
      </c>
      <c r="B63" s="17" t="s">
        <v>174</v>
      </c>
      <c r="C63" s="18" t="s">
        <v>14</v>
      </c>
      <c r="D63" s="19" t="s">
        <v>148</v>
      </c>
      <c r="E63" s="19" t="s">
        <v>149</v>
      </c>
      <c r="F63" s="20" t="s">
        <v>150</v>
      </c>
      <c r="G63" s="21"/>
      <c r="H63" s="22" t="n">
        <v>100</v>
      </c>
      <c r="I63" s="23" t="n">
        <f aca="false">IF(H63="–","–",IFERROR(VLOOKUP(H63,Tabeller!$D$2:$E$23,2,TRUE()),1500))</f>
        <v>2870</v>
      </c>
      <c r="J63" s="24" t="n">
        <v>2870</v>
      </c>
      <c r="K63" s="25" t="n">
        <f aca="false">IF(ISNUMBER(I63),IF(ISNUMBER(J63),J63-I63,""),"–")</f>
        <v>0</v>
      </c>
    </row>
    <row r="65" customFormat="false" ht="18" hidden="false" customHeight="true" outlineLevel="0" collapsed="false">
      <c r="A65" s="5" t="s">
        <v>175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30" hidden="false" customHeight="true" outlineLevel="0" collapsed="false">
      <c r="A66" s="6" t="n">
        <v>57</v>
      </c>
      <c r="B66" s="7" t="s">
        <v>176</v>
      </c>
      <c r="C66" s="8" t="s">
        <v>14</v>
      </c>
      <c r="D66" s="9" t="s">
        <v>177</v>
      </c>
      <c r="E66" s="9" t="s">
        <v>177</v>
      </c>
      <c r="F66" s="10" t="s">
        <v>26</v>
      </c>
      <c r="G66" s="11" t="s">
        <v>178</v>
      </c>
      <c r="H66" s="12" t="n">
        <v>90</v>
      </c>
      <c r="I66" s="13" t="n">
        <f aca="false">IF(H66="–","–",IF(H66&lt;=99,3490,3490+(H66-99)*32))</f>
        <v>3490</v>
      </c>
      <c r="J66" s="14" t="n">
        <v>3490</v>
      </c>
      <c r="K66" s="15" t="n">
        <f aca="false">IF(ISNUMBER(I66),IF(ISNUMBER(J66),J66-I66,""),"–")</f>
        <v>0</v>
      </c>
    </row>
    <row r="67" customFormat="false" ht="30" hidden="false" customHeight="true" outlineLevel="0" collapsed="false">
      <c r="A67" s="16" t="n">
        <v>58</v>
      </c>
      <c r="B67" s="17" t="s">
        <v>179</v>
      </c>
      <c r="C67" s="18" t="s">
        <v>14</v>
      </c>
      <c r="D67" s="19" t="s">
        <v>180</v>
      </c>
      <c r="E67" s="19" t="s">
        <v>180</v>
      </c>
      <c r="F67" s="20" t="s">
        <v>181</v>
      </c>
      <c r="G67" s="21" t="s">
        <v>182</v>
      </c>
      <c r="H67" s="22" t="n">
        <v>394</v>
      </c>
      <c r="I67" s="23" t="n">
        <f aca="false">15000</f>
        <v>15000</v>
      </c>
      <c r="J67" s="24" t="n">
        <v>15000</v>
      </c>
      <c r="K67" s="25" t="n">
        <f aca="false">IF(ISNUMBER(I67),IF(ISNUMBER(J67),J67-I67,""),"–")</f>
        <v>0</v>
      </c>
    </row>
    <row r="68" customFormat="false" ht="30" hidden="false" customHeight="true" outlineLevel="0" collapsed="false">
      <c r="A68" s="6" t="n">
        <v>59</v>
      </c>
      <c r="B68" s="7" t="s">
        <v>183</v>
      </c>
      <c r="C68" s="8" t="s">
        <v>14</v>
      </c>
      <c r="D68" s="9" t="s">
        <v>184</v>
      </c>
      <c r="E68" s="9" t="s">
        <v>184</v>
      </c>
      <c r="F68" s="10" t="s">
        <v>185</v>
      </c>
      <c r="G68" s="11" t="s">
        <v>186</v>
      </c>
      <c r="H68" s="12" t="n">
        <v>253</v>
      </c>
      <c r="I68" s="13" t="n">
        <v>5315</v>
      </c>
      <c r="J68" s="14" t="n">
        <v>5315</v>
      </c>
      <c r="K68" s="15" t="n">
        <f aca="false">IF(ISNUMBER(I68),IF(ISNUMBER(J68),J68-I68,""),"–")</f>
        <v>0</v>
      </c>
    </row>
    <row r="69" customFormat="false" ht="30" hidden="false" customHeight="true" outlineLevel="0" collapsed="false">
      <c r="A69" s="16" t="n">
        <v>60</v>
      </c>
      <c r="B69" s="17" t="s">
        <v>187</v>
      </c>
      <c r="C69" s="18" t="s">
        <v>14</v>
      </c>
      <c r="D69" s="19" t="s">
        <v>188</v>
      </c>
      <c r="E69" s="19" t="s">
        <v>188</v>
      </c>
      <c r="F69" s="20" t="s">
        <v>142</v>
      </c>
      <c r="G69" s="21"/>
      <c r="H69" s="22" t="n">
        <v>2</v>
      </c>
      <c r="I69" s="23" t="n">
        <f aca="false">IF(H69="–","–",199+IFERROR(VLOOKUP(H69,Tabeller!$J$2:$K$8,2,TRUE()),1330))</f>
        <v>1529</v>
      </c>
      <c r="J69" s="24" t="n">
        <v>1529</v>
      </c>
      <c r="K69" s="25" t="n">
        <f aca="false">IF(ISNUMBER(I69),IF(ISNUMBER(J69),J69-I69,""),"–")</f>
        <v>0</v>
      </c>
    </row>
    <row r="70" customFormat="false" ht="30" hidden="false" customHeight="true" outlineLevel="0" collapsed="false">
      <c r="A70" s="6" t="n">
        <v>61</v>
      </c>
      <c r="B70" s="7" t="s">
        <v>189</v>
      </c>
      <c r="C70" s="8" t="s">
        <v>14</v>
      </c>
      <c r="D70" s="35" t="s">
        <v>190</v>
      </c>
      <c r="E70" s="9" t="s">
        <v>190</v>
      </c>
      <c r="F70" s="10" t="s">
        <v>191</v>
      </c>
      <c r="G70" s="11"/>
      <c r="H70" s="12" t="n">
        <v>46</v>
      </c>
      <c r="I70" s="13" t="n">
        <f aca="false">IF(H70="–","–",IFERROR(VLOOKUP(H70,Tabeller!$M$2:$N$6,2,TRUE()),2580))</f>
        <v>2580</v>
      </c>
      <c r="J70" s="14" t="n">
        <v>2580</v>
      </c>
      <c r="K70" s="15" t="n">
        <f aca="false">IF(ISNUMBER(I70),IF(ISNUMBER(J70),J70-I70,""),"–")</f>
        <v>0</v>
      </c>
    </row>
    <row r="71" customFormat="false" ht="30" hidden="false" customHeight="true" outlineLevel="0" collapsed="false">
      <c r="A71" s="16" t="n">
        <v>62</v>
      </c>
      <c r="B71" s="17" t="s">
        <v>192</v>
      </c>
      <c r="C71" s="18" t="s">
        <v>14</v>
      </c>
      <c r="D71" s="34" t="s">
        <v>193</v>
      </c>
      <c r="E71" s="19" t="s">
        <v>193</v>
      </c>
      <c r="F71" s="20" t="s">
        <v>191</v>
      </c>
      <c r="G71" s="21"/>
      <c r="H71" s="22" t="n">
        <v>24</v>
      </c>
      <c r="I71" s="23" t="n">
        <f aca="false">IF(H71="–","–",IFERROR(VLOOKUP(H71,Tabeller!$P$2:$Q$5,2,TRUE()),7410))</f>
        <v>7410</v>
      </c>
      <c r="J71" s="24" t="n">
        <v>7410</v>
      </c>
      <c r="K71" s="25" t="n">
        <f aca="false">IF(ISNUMBER(I71),IF(ISNUMBER(J71),J71-I71,""),"–")</f>
        <v>0</v>
      </c>
    </row>
    <row r="72" customFormat="false" ht="30" hidden="false" customHeight="true" outlineLevel="0" collapsed="false">
      <c r="A72" s="6" t="n">
        <v>63</v>
      </c>
      <c r="B72" s="7" t="s">
        <v>194</v>
      </c>
      <c r="C72" s="8" t="s">
        <v>14</v>
      </c>
      <c r="D72" s="9" t="s">
        <v>195</v>
      </c>
      <c r="E72" s="9" t="s">
        <v>195</v>
      </c>
      <c r="F72" s="10" t="s">
        <v>191</v>
      </c>
      <c r="G72" s="11" t="s">
        <v>196</v>
      </c>
      <c r="H72" s="12" t="n">
        <v>337</v>
      </c>
      <c r="I72" s="13" t="n">
        <f aca="false">IF(H72="–","–",4640+MAX(0,H72-299)*42)</f>
        <v>6236</v>
      </c>
      <c r="J72" s="14" t="n">
        <v>6236</v>
      </c>
      <c r="K72" s="15" t="n">
        <f aca="false">IF(ISNUMBER(I72),IF(ISNUMBER(J72),J72-I72,""),"–")</f>
        <v>0</v>
      </c>
    </row>
    <row r="73" customFormat="false" ht="30" hidden="false" customHeight="true" outlineLevel="0" collapsed="false">
      <c r="A73" s="16" t="n">
        <v>64</v>
      </c>
      <c r="B73" s="37" t="s">
        <v>197</v>
      </c>
      <c r="C73" s="18" t="s">
        <v>14</v>
      </c>
      <c r="D73" s="34" t="s">
        <v>198</v>
      </c>
      <c r="E73" s="19" t="s">
        <v>198</v>
      </c>
      <c r="F73" s="20" t="s">
        <v>199</v>
      </c>
      <c r="G73" s="21" t="s">
        <v>200</v>
      </c>
      <c r="H73" s="22" t="n">
        <v>18</v>
      </c>
      <c r="I73" s="23" t="n">
        <f aca="false">1125</f>
        <v>1125</v>
      </c>
      <c r="J73" s="24" t="n">
        <v>1125</v>
      </c>
      <c r="K73" s="25" t="n">
        <f aca="false">IF(ISNUMBER(I73),IF(ISNUMBER(J73),J73-I73,""),"–")</f>
        <v>0</v>
      </c>
    </row>
    <row r="75" customFormat="false" ht="18" hidden="false" customHeight="true" outlineLevel="0" collapsed="false">
      <c r="A75" s="5" t="s">
        <v>201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30" hidden="false" customHeight="true" outlineLevel="0" collapsed="false">
      <c r="A76" s="6" t="n">
        <v>65</v>
      </c>
      <c r="B76" s="7" t="s">
        <v>202</v>
      </c>
      <c r="C76" s="8" t="s">
        <v>14</v>
      </c>
      <c r="D76" s="9" t="s">
        <v>203</v>
      </c>
      <c r="E76" s="9" t="s">
        <v>203</v>
      </c>
      <c r="F76" s="10" t="s">
        <v>204</v>
      </c>
      <c r="G76" s="11" t="s">
        <v>205</v>
      </c>
      <c r="H76" s="12" t="n">
        <v>66</v>
      </c>
      <c r="I76" s="13"/>
      <c r="J76" s="14" t="n">
        <v>0</v>
      </c>
      <c r="K76" s="15" t="str">
        <f aca="false">IF(ISNUMBER(I76),IF(ISNUMBER(J76),J76-I76,""),"–")</f>
        <v>–</v>
      </c>
    </row>
    <row r="77" customFormat="false" ht="30" hidden="false" customHeight="true" outlineLevel="0" collapsed="false">
      <c r="A77" s="16" t="n">
        <v>66</v>
      </c>
      <c r="B77" s="17" t="s">
        <v>206</v>
      </c>
      <c r="C77" s="18" t="s">
        <v>14</v>
      </c>
      <c r="D77" s="19" t="s">
        <v>207</v>
      </c>
      <c r="E77" s="19" t="s">
        <v>207</v>
      </c>
      <c r="F77" s="20" t="s">
        <v>208</v>
      </c>
      <c r="G77" s="38" t="s">
        <v>209</v>
      </c>
      <c r="H77" s="22" t="n">
        <v>16</v>
      </c>
      <c r="I77" s="23"/>
      <c r="J77" s="24" t="n">
        <v>0</v>
      </c>
      <c r="K77" s="15" t="str">
        <f aca="false">IF(ISNUMBER(I77),IF(ISNUMBER(J77),J77-I77,""),"–")</f>
        <v>–</v>
      </c>
    </row>
    <row r="78" customFormat="false" ht="30" hidden="false" customHeight="true" outlineLevel="0" collapsed="false">
      <c r="A78" s="6" t="n">
        <v>67</v>
      </c>
      <c r="B78" s="7" t="s">
        <v>210</v>
      </c>
      <c r="C78" s="8" t="s">
        <v>14</v>
      </c>
      <c r="D78" s="9" t="s">
        <v>211</v>
      </c>
      <c r="E78" s="9" t="s">
        <v>211</v>
      </c>
      <c r="F78" s="10" t="s">
        <v>204</v>
      </c>
      <c r="G78" s="11" t="s">
        <v>212</v>
      </c>
      <c r="H78" s="12" t="n">
        <v>63</v>
      </c>
      <c r="I78" s="13" t="n">
        <f aca="false">10230</f>
        <v>10230</v>
      </c>
      <c r="J78" s="14" t="n">
        <v>0</v>
      </c>
      <c r="K78" s="15" t="n">
        <f aca="false">IF(ISNUMBER(I78),IF(ISNUMBER(J78),J78-I78,""),"–")</f>
        <v>-10230</v>
      </c>
    </row>
    <row r="80" customFormat="false" ht="18" hidden="false" customHeight="true" outlineLevel="0" collapsed="false">
      <c r="A80" s="5" t="s">
        <v>213</v>
      </c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Format="false" ht="25.5" hidden="false" customHeight="true" outlineLevel="0" collapsed="false">
      <c r="A81" s="6" t="n">
        <v>68</v>
      </c>
      <c r="B81" s="7" t="s">
        <v>214</v>
      </c>
      <c r="C81" s="8" t="s">
        <v>14</v>
      </c>
      <c r="D81" s="9" t="s">
        <v>215</v>
      </c>
      <c r="E81" s="9" t="s">
        <v>215</v>
      </c>
      <c r="F81" s="10" t="s">
        <v>216</v>
      </c>
      <c r="G81" s="11" t="s">
        <v>217</v>
      </c>
      <c r="H81" s="12" t="n">
        <v>16</v>
      </c>
      <c r="I81" s="13" t="n">
        <v>0</v>
      </c>
      <c r="J81" s="14" t="n">
        <v>1700</v>
      </c>
      <c r="K81" s="15" t="n">
        <f aca="false">IF(ISNUMBER(I81),IF(ISNUMBER(J81),J81-I81,""),"–")</f>
        <v>1700</v>
      </c>
    </row>
    <row r="83" customFormat="false" ht="18" hidden="false" customHeight="true" outlineLevel="0" collapsed="false">
      <c r="A83" s="5" t="s">
        <v>218</v>
      </c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30" hidden="false" customHeight="true" outlineLevel="0" collapsed="false">
      <c r="A84" s="39" t="n">
        <v>69</v>
      </c>
      <c r="B84" s="40" t="s">
        <v>219</v>
      </c>
      <c r="C84" s="41" t="s">
        <v>14</v>
      </c>
      <c r="D84" s="42" t="s">
        <v>220</v>
      </c>
      <c r="E84" s="42" t="s">
        <v>220</v>
      </c>
      <c r="F84" s="43" t="s">
        <v>93</v>
      </c>
      <c r="G84" s="44"/>
      <c r="H84" s="45" t="n">
        <v>21</v>
      </c>
      <c r="I84" s="46" t="n">
        <f aca="false">IF(H84="–","–",1131+H84*30)</f>
        <v>1761</v>
      </c>
      <c r="J84" s="47" t="n">
        <v>1761</v>
      </c>
      <c r="K84" s="48" t="n">
        <f aca="false">IF(ISNUMBER(I84),IF(ISNUMBER(J84),J84-I84,""),"–")</f>
        <v>0</v>
      </c>
    </row>
    <row r="85" customFormat="false" ht="30" hidden="false" customHeight="true" outlineLevel="0" collapsed="false">
      <c r="A85" s="39" t="n">
        <v>70</v>
      </c>
      <c r="B85" s="49" t="s">
        <v>221</v>
      </c>
      <c r="C85" s="41" t="s">
        <v>14</v>
      </c>
      <c r="D85" s="42" t="s">
        <v>222</v>
      </c>
      <c r="E85" s="42" t="s">
        <v>222</v>
      </c>
      <c r="F85" s="43" t="s">
        <v>223</v>
      </c>
      <c r="G85" s="44"/>
      <c r="H85" s="50" t="n">
        <v>41</v>
      </c>
      <c r="I85" s="46" t="n">
        <f aca="false">IF(H85="–",3292,3292+MAX(0,H85-100)*28)</f>
        <v>3292</v>
      </c>
      <c r="J85" s="47" t="n">
        <v>4840</v>
      </c>
      <c r="K85" s="48" t="n">
        <f aca="false">IF(ISNUMBER(I85),IF(ISNUMBER(J85),J85-I85,""),"–")</f>
        <v>1548</v>
      </c>
    </row>
    <row r="86" customFormat="false" ht="30" hidden="false" customHeight="true" outlineLevel="0" collapsed="false">
      <c r="A86" s="39" t="n">
        <v>71</v>
      </c>
      <c r="B86" s="40" t="s">
        <v>224</v>
      </c>
      <c r="C86" s="41" t="s">
        <v>14</v>
      </c>
      <c r="D86" s="42" t="s">
        <v>225</v>
      </c>
      <c r="E86" s="42" t="s">
        <v>225</v>
      </c>
      <c r="F86" s="43" t="s">
        <v>93</v>
      </c>
      <c r="G86" s="44"/>
      <c r="H86" s="45" t="n">
        <v>0</v>
      </c>
      <c r="I86" s="46" t="n">
        <f aca="false">IF(H86="–","–",873+H86*30)</f>
        <v>873</v>
      </c>
      <c r="J86" s="47" t="n">
        <v>873</v>
      </c>
      <c r="K86" s="48" t="n">
        <f aca="false">IF(ISNUMBER(I86),IF(ISNUMBER(J86),J86-I86,""),"–")</f>
        <v>0</v>
      </c>
    </row>
    <row r="87" customFormat="false" ht="30" hidden="false" customHeight="true" outlineLevel="0" collapsed="false">
      <c r="A87" s="39" t="n">
        <v>72</v>
      </c>
      <c r="B87" s="40" t="s">
        <v>226</v>
      </c>
      <c r="C87" s="41" t="s">
        <v>14</v>
      </c>
      <c r="D87" s="51" t="s">
        <v>227</v>
      </c>
      <c r="E87" s="51" t="s">
        <v>227</v>
      </c>
      <c r="F87" s="43" t="s">
        <v>228</v>
      </c>
      <c r="G87" s="44"/>
      <c r="H87" s="45" t="n">
        <v>560</v>
      </c>
      <c r="I87" s="46" t="n">
        <f aca="false">IF(H87="–","–",566+21*114+H87*30)</f>
        <v>19760</v>
      </c>
      <c r="J87" s="47" t="n">
        <v>19760</v>
      </c>
      <c r="K87" s="48" t="n">
        <f aca="false">IF(ISNUMBER(I87),IF(ISNUMBER(J87),J87-I87,""),"–")</f>
        <v>0</v>
      </c>
    </row>
    <row r="88" customFormat="false" ht="30" hidden="false" customHeight="true" outlineLevel="0" collapsed="false">
      <c r="A88" s="39" t="n">
        <v>73</v>
      </c>
      <c r="B88" s="40" t="s">
        <v>229</v>
      </c>
      <c r="C88" s="41" t="s">
        <v>14</v>
      </c>
      <c r="D88" s="51" t="s">
        <v>230</v>
      </c>
      <c r="E88" s="51" t="s">
        <v>230</v>
      </c>
      <c r="F88" s="43" t="s">
        <v>228</v>
      </c>
      <c r="G88" s="44"/>
      <c r="H88" s="45" t="n">
        <v>29</v>
      </c>
      <c r="I88" s="46" t="n">
        <f aca="false">IF(H88="–","–",566+25*56+H88*28)</f>
        <v>2778</v>
      </c>
      <c r="J88" s="47" t="n">
        <v>2778</v>
      </c>
      <c r="K88" s="48" t="n">
        <f aca="false">IF(ISNUMBER(I88),IF(ISNUMBER(J88),J88-I88,""),"–")</f>
        <v>0</v>
      </c>
    </row>
    <row r="89" customFormat="false" ht="30" hidden="false" customHeight="true" outlineLevel="0" collapsed="false">
      <c r="A89" s="39" t="n">
        <v>74</v>
      </c>
      <c r="B89" s="40" t="s">
        <v>231</v>
      </c>
      <c r="C89" s="41" t="s">
        <v>14</v>
      </c>
      <c r="D89" s="42" t="s">
        <v>232</v>
      </c>
      <c r="E89" s="42" t="s">
        <v>232</v>
      </c>
      <c r="F89" s="43" t="s">
        <v>93</v>
      </c>
      <c r="G89" s="44"/>
      <c r="H89" s="45" t="n">
        <v>26</v>
      </c>
      <c r="I89" s="46" t="n">
        <f aca="false">IF(H89="–","–",660+H89*30)</f>
        <v>1440</v>
      </c>
      <c r="J89" s="47" t="n">
        <v>1440</v>
      </c>
      <c r="K89" s="48" t="n">
        <f aca="false">IF(ISNUMBER(I89),IF(ISNUMBER(J89),J89-I89,""),"–")</f>
        <v>0</v>
      </c>
    </row>
    <row r="90" customFormat="false" ht="30" hidden="false" customHeight="true" outlineLevel="0" collapsed="false">
      <c r="A90" s="39" t="n">
        <v>75</v>
      </c>
      <c r="B90" s="40" t="s">
        <v>233</v>
      </c>
      <c r="C90" s="41" t="s">
        <v>14</v>
      </c>
      <c r="D90" s="42" t="s">
        <v>234</v>
      </c>
      <c r="E90" s="42" t="s">
        <v>234</v>
      </c>
      <c r="F90" s="43" t="s">
        <v>235</v>
      </c>
      <c r="G90" s="44"/>
      <c r="H90" s="45" t="n">
        <v>30</v>
      </c>
      <c r="I90" s="46" t="n">
        <v>1664</v>
      </c>
      <c r="J90" s="47" t="n">
        <v>1664</v>
      </c>
      <c r="K90" s="48" t="n">
        <f aca="false">IF(ISNUMBER(I90),IF(ISNUMBER(J90),J90-I90,""),"–")</f>
        <v>0</v>
      </c>
    </row>
    <row r="91" customFormat="false" ht="30" hidden="false" customHeight="true" outlineLevel="0" collapsed="false">
      <c r="A91" s="39" t="n">
        <v>76</v>
      </c>
      <c r="B91" s="40" t="s">
        <v>236</v>
      </c>
      <c r="C91" s="41" t="s">
        <v>14</v>
      </c>
      <c r="D91" s="42" t="s">
        <v>237</v>
      </c>
      <c r="E91" s="42" t="s">
        <v>237</v>
      </c>
      <c r="F91" s="43" t="s">
        <v>122</v>
      </c>
      <c r="G91" s="44"/>
      <c r="H91" s="45" t="n">
        <v>120</v>
      </c>
      <c r="I91" s="46" t="n">
        <f aca="false">IF(H91="–",6129,6129+MAX(0,H91-149)*23)</f>
        <v>6129</v>
      </c>
      <c r="J91" s="47" t="n">
        <v>6129</v>
      </c>
      <c r="K91" s="48" t="n">
        <f aca="false">IF(ISNUMBER(I91),IF(ISNUMBER(J91),J91-I91,""),"–")</f>
        <v>0</v>
      </c>
    </row>
    <row r="92" customFormat="false" ht="30" hidden="false" customHeight="true" outlineLevel="0" collapsed="false">
      <c r="A92" s="39" t="n">
        <v>77</v>
      </c>
      <c r="B92" s="40" t="s">
        <v>238</v>
      </c>
      <c r="C92" s="41" t="s">
        <v>14</v>
      </c>
      <c r="D92" s="42" t="s">
        <v>239</v>
      </c>
      <c r="E92" s="42" t="s">
        <v>240</v>
      </c>
      <c r="F92" s="43" t="s">
        <v>228</v>
      </c>
      <c r="G92" s="44" t="s">
        <v>241</v>
      </c>
      <c r="H92" s="45" t="n">
        <v>84</v>
      </c>
      <c r="I92" s="46" t="n">
        <f aca="false">IF(H92="–","–",640+12*118+H92*30)</f>
        <v>4576</v>
      </c>
      <c r="J92" s="47" t="n">
        <v>4576</v>
      </c>
      <c r="K92" s="48" t="n">
        <f aca="false">IF(ISNUMBER(I92),IF(ISNUMBER(J92),J92-I92,""),"–")</f>
        <v>0</v>
      </c>
    </row>
    <row r="93" customFormat="false" ht="38.25" hidden="false" customHeight="true" outlineLevel="0" collapsed="false">
      <c r="A93" s="39" t="n">
        <v>78</v>
      </c>
      <c r="B93" s="52" t="s">
        <v>242</v>
      </c>
      <c r="C93" s="53" t="s">
        <v>243</v>
      </c>
      <c r="D93" s="51" t="s">
        <v>244</v>
      </c>
      <c r="E93" s="51" t="s">
        <v>244</v>
      </c>
      <c r="F93" s="43" t="s">
        <v>245</v>
      </c>
      <c r="G93" s="54" t="s">
        <v>246</v>
      </c>
      <c r="H93" s="45" t="n">
        <v>25</v>
      </c>
      <c r="I93" s="46" t="n">
        <f aca="false">2700</f>
        <v>2700</v>
      </c>
      <c r="J93" s="47" t="n">
        <v>2700</v>
      </c>
      <c r="K93" s="48" t="n">
        <f aca="false">IF(ISNUMBER(I93),IF(ISNUMBER(J93),J93-I93,""),"–")</f>
        <v>0</v>
      </c>
    </row>
    <row r="94" customFormat="false" ht="18" hidden="false" customHeight="true" outlineLevel="0" collapsed="false"/>
    <row r="95" customFormat="false" ht="24" hidden="false" customHeight="true" outlineLevel="0" collapsed="false"/>
    <row r="96" customFormat="false" ht="24" hidden="false" customHeight="true" outlineLevel="0" collapsed="false">
      <c r="A96" s="55" t="s">
        <v>247</v>
      </c>
      <c r="B96" s="55"/>
      <c r="C96" s="55"/>
      <c r="D96" s="55"/>
      <c r="E96" s="55"/>
      <c r="F96" s="55"/>
      <c r="G96" s="55"/>
      <c r="H96" s="55"/>
      <c r="I96" s="55"/>
      <c r="J96" s="56" t="n">
        <f aca="false">SUM(I4:I95,I99:I101)</f>
        <v>293489</v>
      </c>
    </row>
    <row r="97" customFormat="false" ht="36" hidden="false" customHeight="true" outlineLevel="0" collapsed="false">
      <c r="A97" s="55" t="s">
        <v>248</v>
      </c>
      <c r="B97" s="55"/>
      <c r="C97" s="55"/>
      <c r="D97" s="55"/>
      <c r="E97" s="55"/>
      <c r="F97" s="55"/>
      <c r="G97" s="55"/>
      <c r="H97" s="55"/>
      <c r="I97" s="55"/>
      <c r="J97" s="56" t="n">
        <f aca="false">SUM(J4:J95,J99:J101)</f>
        <v>278757</v>
      </c>
      <c r="K97" s="57" t="n">
        <f aca="false">J97-J96</f>
        <v>-14732</v>
      </c>
    </row>
    <row r="99" customFormat="false" ht="15" hidden="false" customHeight="true" outlineLevel="0" collapsed="false">
      <c r="A99" s="1" t="s">
        <v>249</v>
      </c>
    </row>
    <row r="100" customFormat="false" ht="15" hidden="false" customHeight="true" outlineLevel="0" collapsed="false">
      <c r="A100" s="1" t="n">
        <v>79</v>
      </c>
      <c r="B100" s="1" t="s">
        <v>250</v>
      </c>
      <c r="C100" s="1" t="s">
        <v>251</v>
      </c>
      <c r="D100" s="1" t="s">
        <v>252</v>
      </c>
      <c r="G100" s="1" t="s">
        <v>253</v>
      </c>
      <c r="H100" s="1" t="n">
        <v>29</v>
      </c>
      <c r="I100" s="1" t="n">
        <f aca="false">IF(H100="–","–",1500+ROUNDUP(H100/20,0)*950)</f>
        <v>3400</v>
      </c>
    </row>
    <row r="101" customFormat="false" ht="15" hidden="false" customHeight="true" outlineLevel="0" collapsed="false">
      <c r="A101" s="1" t="n">
        <v>80</v>
      </c>
      <c r="B101" s="1" t="s">
        <v>254</v>
      </c>
      <c r="C101" s="1" t="s">
        <v>14</v>
      </c>
      <c r="D101" s="1" t="s">
        <v>255</v>
      </c>
      <c r="E101" s="1" t="s">
        <v>256</v>
      </c>
      <c r="F101" s="1" t="s">
        <v>257</v>
      </c>
      <c r="G101" s="1" t="s">
        <v>258</v>
      </c>
      <c r="H101" s="1" t="n">
        <v>59</v>
      </c>
      <c r="I101" s="1" t="n">
        <f aca="false">IF(H101="–","–",1500+ROUNDUP(H101/20,0)*950)</f>
        <v>4350</v>
      </c>
    </row>
  </sheetData>
  <mergeCells count="10">
    <mergeCell ref="A1:K1"/>
    <mergeCell ref="A3:K3"/>
    <mergeCell ref="A30:K30"/>
    <mergeCell ref="A53:K53"/>
    <mergeCell ref="A65:K65"/>
    <mergeCell ref="A75:K75"/>
    <mergeCell ref="A80:K80"/>
    <mergeCell ref="A83:K83"/>
    <mergeCell ref="A96:I96"/>
    <mergeCell ref="A97:I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15</v>
      </c>
      <c r="B1" s="58"/>
      <c r="C1" s="58"/>
      <c r="E1" s="58"/>
      <c r="F1" s="59" t="n">
        <v>2026</v>
      </c>
    </row>
    <row r="2" customFormat="false" ht="15" hidden="false" customHeight="true" outlineLevel="0" collapsed="false">
      <c r="A2" s="60" t="s">
        <v>259</v>
      </c>
      <c r="B2" s="60" t="s">
        <v>260</v>
      </c>
      <c r="C2" s="60"/>
      <c r="D2" s="61"/>
      <c r="E2" s="62"/>
      <c r="F2" s="63" t="s">
        <v>261</v>
      </c>
    </row>
    <row r="3" customFormat="false" ht="15" hidden="false" customHeight="true" outlineLevel="0" collapsed="false">
      <c r="A3" s="60"/>
      <c r="B3" s="60"/>
      <c r="C3" s="60"/>
      <c r="D3" s="61"/>
      <c r="E3" s="62"/>
      <c r="F3" s="63"/>
    </row>
    <row r="4" customFormat="false" ht="15" hidden="false" customHeight="true" outlineLevel="0" collapsed="false">
      <c r="A4" s="58" t="n">
        <v>1</v>
      </c>
      <c r="B4" s="58" t="n">
        <v>99</v>
      </c>
      <c r="C4" s="58"/>
      <c r="E4" s="64"/>
      <c r="F4" s="65" t="n">
        <v>2960</v>
      </c>
    </row>
    <row r="5" customFormat="false" ht="15" hidden="false" customHeight="true" outlineLevel="0" collapsed="false">
      <c r="A5" s="1" t="n">
        <v>100</v>
      </c>
      <c r="B5" s="1" t="n">
        <v>149</v>
      </c>
      <c r="E5" s="64"/>
      <c r="F5" s="65" t="n">
        <v>3580</v>
      </c>
    </row>
    <row r="6" customFormat="false" ht="15" hidden="false" customHeight="true" outlineLevel="0" collapsed="false">
      <c r="A6" s="1" t="n">
        <v>150</v>
      </c>
      <c r="B6" s="1" t="n">
        <v>199</v>
      </c>
      <c r="E6" s="64"/>
      <c r="F6" s="65" t="n">
        <v>4090</v>
      </c>
    </row>
    <row r="7" customFormat="false" ht="15" hidden="false" customHeight="true" outlineLevel="0" collapsed="false">
      <c r="A7" s="1" t="n">
        <v>200</v>
      </c>
      <c r="B7" s="1" t="n">
        <v>249</v>
      </c>
      <c r="E7" s="64"/>
      <c r="F7" s="65" t="n">
        <v>4670</v>
      </c>
    </row>
    <row r="8" customFormat="false" ht="15" hidden="false" customHeight="true" outlineLevel="0" collapsed="false">
      <c r="A8" s="1" t="n">
        <v>250</v>
      </c>
      <c r="B8" s="1" t="n">
        <v>299</v>
      </c>
      <c r="C8" s="58"/>
      <c r="E8" s="64"/>
      <c r="F8" s="65" t="n">
        <v>5760</v>
      </c>
    </row>
    <row r="9" customFormat="false" ht="15" hidden="false" customHeight="true" outlineLevel="0" collapsed="false">
      <c r="A9" s="1" t="n">
        <v>300</v>
      </c>
      <c r="B9" s="1" t="n">
        <v>349</v>
      </c>
      <c r="E9" s="64"/>
      <c r="F9" s="65" t="n">
        <v>6830</v>
      </c>
    </row>
    <row r="10" customFormat="false" ht="15" hidden="false" customHeight="true" outlineLevel="0" collapsed="false">
      <c r="A10" s="1" t="n">
        <v>350</v>
      </c>
      <c r="B10" s="1" t="n">
        <v>399</v>
      </c>
      <c r="E10" s="64"/>
      <c r="F10" s="65" t="n">
        <v>7920</v>
      </c>
    </row>
    <row r="11" customFormat="false" ht="15" hidden="false" customHeight="true" outlineLevel="0" collapsed="false">
      <c r="A11" s="1" t="n">
        <v>400</v>
      </c>
      <c r="B11" s="1" t="n">
        <v>449</v>
      </c>
      <c r="E11" s="64"/>
      <c r="F11" s="65" t="n">
        <v>8980</v>
      </c>
    </row>
    <row r="12" customFormat="false" ht="15" hidden="false" customHeight="true" outlineLevel="0" collapsed="false">
      <c r="A12" s="1" t="n">
        <v>450</v>
      </c>
      <c r="B12" s="1" t="n">
        <v>499</v>
      </c>
      <c r="E12" s="64"/>
      <c r="F12" s="65" t="n">
        <v>10080</v>
      </c>
    </row>
    <row r="13" customFormat="false" ht="15" hidden="false" customHeight="true" outlineLevel="0" collapsed="false">
      <c r="A13" s="1" t="n">
        <v>500</v>
      </c>
      <c r="B13" s="1" t="n">
        <v>549</v>
      </c>
      <c r="E13" s="64"/>
      <c r="F13" s="65" t="n">
        <v>11150</v>
      </c>
    </row>
    <row r="14" customFormat="false" ht="15" hidden="false" customHeight="true" outlineLevel="0" collapsed="false">
      <c r="A14" s="1" t="n">
        <v>550</v>
      </c>
      <c r="B14" s="1" t="n">
        <v>599</v>
      </c>
      <c r="E14" s="64"/>
      <c r="F14" s="65" t="n">
        <v>12200</v>
      </c>
    </row>
    <row r="15" customFormat="false" ht="15" hidden="false" customHeight="true" outlineLevel="0" collapsed="false">
      <c r="A15" s="1" t="n">
        <v>600</v>
      </c>
      <c r="B15" s="1" t="n">
        <v>649</v>
      </c>
      <c r="E15" s="64"/>
      <c r="F15" s="65" t="n">
        <v>13260</v>
      </c>
    </row>
    <row r="16" customFormat="false" ht="15" hidden="false" customHeight="true" outlineLevel="0" collapsed="false">
      <c r="A16" s="1" t="n">
        <v>650</v>
      </c>
      <c r="B16" s="1" t="n">
        <v>699</v>
      </c>
      <c r="E16" s="64"/>
      <c r="F16" s="65" t="n">
        <v>14360</v>
      </c>
    </row>
    <row r="17" customFormat="false" ht="15" hidden="false" customHeight="true" outlineLevel="0" collapsed="false">
      <c r="A17" s="1" t="n">
        <v>700</v>
      </c>
      <c r="B17" s="1" t="n">
        <v>749</v>
      </c>
      <c r="E17" s="64"/>
      <c r="F17" s="65" t="n">
        <v>15430</v>
      </c>
    </row>
    <row r="18" customFormat="false" ht="15" hidden="false" customHeight="true" outlineLevel="0" collapsed="false">
      <c r="A18" s="1" t="n">
        <v>750</v>
      </c>
      <c r="B18" s="1" t="n">
        <v>799</v>
      </c>
      <c r="E18" s="64"/>
      <c r="F18" s="65" t="n">
        <v>16530</v>
      </c>
    </row>
    <row r="19" customFormat="false" ht="15" hidden="false" customHeight="true" outlineLevel="0" collapsed="false">
      <c r="A19" s="1" t="n">
        <v>800</v>
      </c>
      <c r="B19" s="1" t="n">
        <v>849</v>
      </c>
      <c r="E19" s="64"/>
      <c r="F19" s="65" t="n">
        <v>17590</v>
      </c>
    </row>
    <row r="20" customFormat="false" ht="15" hidden="false" customHeight="true" outlineLevel="0" collapsed="false">
      <c r="A20" s="1" t="n">
        <v>850</v>
      </c>
      <c r="B20" s="1" t="n">
        <v>899</v>
      </c>
      <c r="E20" s="64"/>
      <c r="F20" s="65" t="n">
        <v>18680</v>
      </c>
    </row>
    <row r="21" customFormat="false" ht="15" hidden="false" customHeight="true" outlineLevel="0" collapsed="false">
      <c r="A21" s="1" t="n">
        <v>900</v>
      </c>
      <c r="B21" s="1" t="n">
        <v>949</v>
      </c>
      <c r="E21" s="64"/>
      <c r="F21" s="65" t="n">
        <v>19750</v>
      </c>
    </row>
    <row r="22" customFormat="false" ht="15" hidden="false" customHeight="true" outlineLevel="0" collapsed="false">
      <c r="A22" s="1" t="n">
        <v>950</v>
      </c>
      <c r="B22" s="1" t="n">
        <v>999</v>
      </c>
      <c r="E22" s="64"/>
      <c r="F22" s="65" t="n">
        <v>20820</v>
      </c>
    </row>
    <row r="23" customFormat="false" ht="15" hidden="false" customHeight="true" outlineLevel="0" collapsed="false">
      <c r="A23" s="1" t="n">
        <v>1000</v>
      </c>
      <c r="B23" s="1" t="n">
        <v>1099</v>
      </c>
      <c r="E23" s="64"/>
      <c r="F23" s="65" t="n">
        <v>23000</v>
      </c>
    </row>
    <row r="24" customFormat="false" ht="15" hidden="false" customHeight="true" outlineLevel="0" collapsed="false">
      <c r="A24" s="1" t="n">
        <v>1100</v>
      </c>
      <c r="B24" s="1" t="n">
        <v>1199</v>
      </c>
      <c r="E24" s="64"/>
      <c r="F24" s="65" t="n">
        <v>24100</v>
      </c>
    </row>
    <row r="25" customFormat="false" ht="15" hidden="false" customHeight="true" outlineLevel="0" collapsed="false">
      <c r="A25" s="1" t="n">
        <v>1200</v>
      </c>
      <c r="B25" s="1" t="n">
        <v>1299</v>
      </c>
      <c r="E25" s="64"/>
      <c r="F25" s="65" t="n">
        <v>26260</v>
      </c>
    </row>
    <row r="26" customFormat="false" ht="15" hidden="false" customHeight="true" outlineLevel="0" collapsed="false">
      <c r="A26" s="1" t="n">
        <v>1300</v>
      </c>
      <c r="B26" s="1" t="n">
        <v>1399</v>
      </c>
      <c r="E26" s="64"/>
      <c r="F26" s="65" t="n">
        <v>28400</v>
      </c>
    </row>
    <row r="27" customFormat="false" ht="15" hidden="false" customHeight="true" outlineLevel="0" collapsed="false">
      <c r="A27" s="1" t="n">
        <v>1400</v>
      </c>
      <c r="B27" s="1" t="n">
        <v>1499</v>
      </c>
      <c r="E27" s="64"/>
      <c r="F27" s="65" t="n">
        <v>30240</v>
      </c>
    </row>
    <row r="28" customFormat="false" ht="15" hidden="false" customHeight="true" outlineLevel="0" collapsed="false">
      <c r="A28" s="1" t="n">
        <v>1500</v>
      </c>
      <c r="B28" s="1" t="n">
        <v>1599</v>
      </c>
      <c r="E28" s="64"/>
      <c r="F28" s="65" t="n">
        <v>32710</v>
      </c>
    </row>
    <row r="29" customFormat="false" ht="15" hidden="false" customHeight="true" outlineLevel="0" collapsed="false">
      <c r="A29" s="1" t="n">
        <v>1600</v>
      </c>
      <c r="B29" s="1" t="n">
        <v>1699</v>
      </c>
      <c r="E29" s="64"/>
      <c r="F29" s="65" t="n">
        <v>34890</v>
      </c>
    </row>
    <row r="30" customFormat="false" ht="15" hidden="false" customHeight="true" outlineLevel="0" collapsed="false">
      <c r="A30" s="1" t="n">
        <v>1700</v>
      </c>
      <c r="B30" s="1" t="n">
        <v>1799</v>
      </c>
      <c r="E30" s="64"/>
      <c r="F30" s="65" t="n">
        <v>37060</v>
      </c>
    </row>
    <row r="31" customFormat="false" ht="15" hidden="false" customHeight="true" outlineLevel="0" collapsed="false">
      <c r="A31" s="1" t="n">
        <v>1800</v>
      </c>
      <c r="B31" s="1" t="n">
        <v>1899</v>
      </c>
      <c r="E31" s="64"/>
      <c r="F31" s="65" t="n">
        <v>39200</v>
      </c>
    </row>
    <row r="32" customFormat="false" ht="15" hidden="false" customHeight="true" outlineLevel="0" collapsed="false">
      <c r="A32" s="1" t="n">
        <v>1900</v>
      </c>
      <c r="B32" s="1" t="n">
        <v>1999</v>
      </c>
      <c r="E32" s="64"/>
      <c r="F32" s="65" t="n">
        <v>41380</v>
      </c>
    </row>
    <row r="33" customFormat="false" ht="15" hidden="false" customHeight="true" outlineLevel="0" collapsed="false">
      <c r="A33" s="1" t="n">
        <v>2000</v>
      </c>
      <c r="B33" s="1" t="n">
        <v>2099</v>
      </c>
      <c r="E33" s="64"/>
      <c r="F33" s="65" t="n">
        <v>43500</v>
      </c>
    </row>
    <row r="34" customFormat="false" ht="15" hidden="false" customHeight="true" outlineLevel="0" collapsed="false">
      <c r="A34" s="1" t="n">
        <v>2100</v>
      </c>
      <c r="B34" s="1" t="n">
        <v>2199</v>
      </c>
      <c r="E34" s="64"/>
      <c r="F34" s="65" t="n">
        <v>45650</v>
      </c>
    </row>
    <row r="35" customFormat="false" ht="15" hidden="false" customHeight="true" outlineLevel="0" collapsed="false">
      <c r="A35" s="1" t="n">
        <v>2200</v>
      </c>
      <c r="B35" s="1" t="n">
        <v>2299</v>
      </c>
      <c r="E35" s="64"/>
      <c r="F35" s="65" t="n">
        <v>47850</v>
      </c>
    </row>
    <row r="36" customFormat="false" ht="15" hidden="false" customHeight="true" outlineLevel="0" collapsed="false">
      <c r="A36" s="1" t="n">
        <v>2300</v>
      </c>
      <c r="B36" s="1" t="n">
        <v>2399</v>
      </c>
      <c r="E36" s="64"/>
      <c r="F36" s="65" t="n">
        <v>49980</v>
      </c>
    </row>
    <row r="37" customFormat="false" ht="15" hidden="false" customHeight="true" outlineLevel="0" collapsed="false">
      <c r="A37" s="1" t="n">
        <v>2400</v>
      </c>
      <c r="B37" s="1" t="n">
        <v>2499</v>
      </c>
      <c r="E37" s="64"/>
      <c r="F37" s="65" t="n">
        <v>52160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23" activeCellId="0" sqref="A23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59" t="s">
        <v>74</v>
      </c>
    </row>
    <row r="2" customFormat="false" ht="51" hidden="false" customHeight="true" outlineLevel="0" collapsed="false">
      <c r="A2" s="32" t="s">
        <v>75</v>
      </c>
      <c r="B2" s="66" t="s">
        <v>14</v>
      </c>
      <c r="C2" s="35" t="s">
        <v>76</v>
      </c>
    </row>
    <row r="3" customFormat="false" ht="89.25" hidden="false" customHeight="true" outlineLevel="0" collapsed="false">
      <c r="A3" s="67" t="s">
        <v>80</v>
      </c>
      <c r="B3" s="68" t="s">
        <v>14</v>
      </c>
      <c r="C3" s="34" t="s">
        <v>81</v>
      </c>
    </row>
    <row r="4" customFormat="false" ht="38.25" hidden="false" customHeight="true" outlineLevel="0" collapsed="false">
      <c r="A4" s="32" t="s">
        <v>85</v>
      </c>
      <c r="B4" s="66" t="s">
        <v>14</v>
      </c>
      <c r="C4" s="35" t="s">
        <v>86</v>
      </c>
    </row>
    <row r="5" customFormat="false" ht="51" hidden="false" customHeight="true" outlineLevel="0" collapsed="false">
      <c r="A5" s="67" t="s">
        <v>90</v>
      </c>
      <c r="B5" s="68" t="s">
        <v>14</v>
      </c>
      <c r="C5" s="34" t="s">
        <v>91</v>
      </c>
    </row>
    <row r="6" customFormat="false" ht="76.5" hidden="false" customHeight="true" outlineLevel="0" collapsed="false">
      <c r="A6" s="32" t="s">
        <v>94</v>
      </c>
      <c r="B6" s="66" t="s">
        <v>14</v>
      </c>
      <c r="C6" s="35" t="s">
        <v>95</v>
      </c>
    </row>
    <row r="7" customFormat="false" ht="89.25" hidden="false" customHeight="true" outlineLevel="0" collapsed="false">
      <c r="A7" s="67" t="s">
        <v>98</v>
      </c>
      <c r="B7" s="68" t="s">
        <v>14</v>
      </c>
      <c r="C7" s="34" t="s">
        <v>99</v>
      </c>
    </row>
    <row r="8" customFormat="false" ht="63.75" hidden="false" customHeight="true" outlineLevel="0" collapsed="false">
      <c r="A8" s="32" t="s">
        <v>101</v>
      </c>
      <c r="B8" s="66" t="s">
        <v>14</v>
      </c>
      <c r="C8" s="35" t="s">
        <v>102</v>
      </c>
    </row>
    <row r="9" customFormat="false" ht="63.75" hidden="false" customHeight="true" outlineLevel="0" collapsed="false">
      <c r="A9" s="67" t="s">
        <v>104</v>
      </c>
      <c r="B9" s="68" t="s">
        <v>14</v>
      </c>
      <c r="C9" s="34" t="s">
        <v>105</v>
      </c>
    </row>
    <row r="10" customFormat="false" ht="63.75" hidden="false" customHeight="true" outlineLevel="0" collapsed="false">
      <c r="A10" s="32" t="s">
        <v>107</v>
      </c>
      <c r="B10" s="66" t="s">
        <v>14</v>
      </c>
      <c r="C10" s="35" t="s">
        <v>108</v>
      </c>
    </row>
    <row r="11" customFormat="false" ht="89.25" hidden="false" customHeight="true" outlineLevel="0" collapsed="false">
      <c r="A11" s="67" t="s">
        <v>109</v>
      </c>
      <c r="B11" s="68" t="s">
        <v>14</v>
      </c>
      <c r="C11" s="34" t="s">
        <v>110</v>
      </c>
    </row>
    <row r="12" customFormat="false" ht="76.5" hidden="false" customHeight="true" outlineLevel="0" collapsed="false">
      <c r="A12" s="32" t="s">
        <v>113</v>
      </c>
      <c r="B12" s="66" t="s">
        <v>14</v>
      </c>
      <c r="C12" s="35" t="s">
        <v>114</v>
      </c>
    </row>
    <row r="13" customFormat="false" ht="63.75" hidden="false" customHeight="true" outlineLevel="0" collapsed="false">
      <c r="A13" s="67" t="s">
        <v>116</v>
      </c>
      <c r="B13" s="68" t="s">
        <v>14</v>
      </c>
      <c r="C13" s="34" t="s">
        <v>108</v>
      </c>
    </row>
    <row r="14" customFormat="false" ht="38.25" hidden="false" customHeight="true" outlineLevel="0" collapsed="false">
      <c r="A14" s="32" t="s">
        <v>117</v>
      </c>
      <c r="B14" s="66" t="s">
        <v>14</v>
      </c>
      <c r="C14" s="35" t="s">
        <v>118</v>
      </c>
    </row>
    <row r="15" customFormat="false" ht="51" hidden="false" customHeight="true" outlineLevel="0" collapsed="false">
      <c r="A15" s="67" t="s">
        <v>119</v>
      </c>
      <c r="B15" s="68" t="s">
        <v>14</v>
      </c>
      <c r="C15" s="34" t="s">
        <v>120</v>
      </c>
    </row>
    <row r="16" customFormat="false" ht="51" hidden="false" customHeight="true" outlineLevel="0" collapsed="false">
      <c r="A16" s="32" t="s">
        <v>124</v>
      </c>
      <c r="B16" s="66" t="s">
        <v>14</v>
      </c>
      <c r="C16" s="35" t="s">
        <v>125</v>
      </c>
    </row>
    <row r="17" customFormat="false" ht="38.25" hidden="false" customHeight="true" outlineLevel="0" collapsed="false">
      <c r="A17" s="67" t="s">
        <v>128</v>
      </c>
      <c r="B17" s="68" t="s">
        <v>14</v>
      </c>
      <c r="C17" s="34" t="s">
        <v>129</v>
      </c>
    </row>
    <row r="18" customFormat="false" ht="51" hidden="false" customHeight="true" outlineLevel="0" collapsed="false">
      <c r="A18" s="32" t="s">
        <v>130</v>
      </c>
      <c r="B18" s="66" t="s">
        <v>14</v>
      </c>
      <c r="C18" s="35" t="s">
        <v>131</v>
      </c>
    </row>
    <row r="19" customFormat="false" ht="63.75" hidden="false" customHeight="true" outlineLevel="0" collapsed="false">
      <c r="A19" s="67" t="s">
        <v>133</v>
      </c>
      <c r="B19" s="68" t="s">
        <v>14</v>
      </c>
      <c r="C19" s="34" t="s">
        <v>134</v>
      </c>
    </row>
    <row r="20" customFormat="false" ht="76.5" hidden="false" customHeight="true" outlineLevel="0" collapsed="false">
      <c r="A20" s="32" t="s">
        <v>136</v>
      </c>
      <c r="B20" s="66" t="s">
        <v>14</v>
      </c>
      <c r="C20" s="35" t="s">
        <v>137</v>
      </c>
    </row>
    <row r="21" customFormat="false" ht="165.75" hidden="false" customHeight="true" outlineLevel="0" collapsed="false">
      <c r="A21" s="67" t="s">
        <v>139</v>
      </c>
      <c r="B21" s="68" t="s">
        <v>14</v>
      </c>
      <c r="C21" s="34" t="s">
        <v>140</v>
      </c>
    </row>
    <row r="22" customFormat="false" ht="63.75" hidden="false" customHeight="true" outlineLevel="0" collapsed="false">
      <c r="A22" s="32" t="s">
        <v>143</v>
      </c>
      <c r="B22" s="66" t="s">
        <v>14</v>
      </c>
      <c r="C22" s="35" t="s">
        <v>144</v>
      </c>
    </row>
    <row r="23" customFormat="false" ht="38.25" hidden="false" customHeight="true" outlineLevel="0" collapsed="false">
      <c r="A23" s="49" t="s">
        <v>219</v>
      </c>
      <c r="B23" s="53" t="s">
        <v>14</v>
      </c>
      <c r="C23" s="51" t="s">
        <v>220</v>
      </c>
    </row>
    <row r="24" customFormat="false" ht="114.75" hidden="false" customHeight="true" outlineLevel="0" collapsed="false">
      <c r="A24" s="49" t="s">
        <v>221</v>
      </c>
      <c r="B24" s="53" t="s">
        <v>14</v>
      </c>
      <c r="C24" s="51" t="s">
        <v>222</v>
      </c>
    </row>
    <row r="25" customFormat="false" ht="38.25" hidden="false" customHeight="true" outlineLevel="0" collapsed="false">
      <c r="A25" s="49" t="s">
        <v>224</v>
      </c>
      <c r="B25" s="53" t="s">
        <v>14</v>
      </c>
      <c r="C25" s="51" t="s">
        <v>225</v>
      </c>
    </row>
    <row r="26" customFormat="false" ht="63.75" hidden="false" customHeight="true" outlineLevel="0" collapsed="false">
      <c r="A26" s="49" t="s">
        <v>226</v>
      </c>
      <c r="B26" s="53" t="s">
        <v>14</v>
      </c>
      <c r="C26" s="51" t="s">
        <v>227</v>
      </c>
    </row>
    <row r="27" customFormat="false" ht="63.75" hidden="false" customHeight="true" outlineLevel="0" collapsed="false">
      <c r="A27" s="49" t="s">
        <v>229</v>
      </c>
      <c r="B27" s="53" t="s">
        <v>14</v>
      </c>
      <c r="C27" s="51" t="s">
        <v>230</v>
      </c>
    </row>
    <row r="28" customFormat="false" ht="38.25" hidden="false" customHeight="true" outlineLevel="0" collapsed="false">
      <c r="A28" s="49" t="s">
        <v>231</v>
      </c>
      <c r="B28" s="53" t="s">
        <v>14</v>
      </c>
      <c r="C28" s="51" t="s">
        <v>232</v>
      </c>
    </row>
    <row r="29" customFormat="false" ht="63.75" hidden="false" customHeight="true" outlineLevel="0" collapsed="false">
      <c r="A29" s="49" t="s">
        <v>233</v>
      </c>
      <c r="B29" s="53" t="s">
        <v>14</v>
      </c>
      <c r="C29" s="51" t="s">
        <v>234</v>
      </c>
    </row>
    <row r="30" customFormat="false" ht="89.25" hidden="false" customHeight="true" outlineLevel="0" collapsed="false">
      <c r="A30" s="49" t="s">
        <v>236</v>
      </c>
      <c r="B30" s="53" t="s">
        <v>14</v>
      </c>
      <c r="C30" s="51" t="s">
        <v>237</v>
      </c>
    </row>
    <row r="31" customFormat="false" ht="63.75" hidden="false" customHeight="true" outlineLevel="0" collapsed="false">
      <c r="A31" s="49" t="s">
        <v>238</v>
      </c>
      <c r="B31" s="53" t="s">
        <v>14</v>
      </c>
      <c r="C31" s="51" t="s">
        <v>262</v>
      </c>
    </row>
    <row r="32" customFormat="false" ht="140.25" hidden="false" customHeight="true" outlineLevel="0" collapsed="false">
      <c r="A32" s="52" t="s">
        <v>242</v>
      </c>
      <c r="B32" s="53" t="s">
        <v>243</v>
      </c>
      <c r="C32" s="51" t="s">
        <v>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59" t="s">
        <v>263</v>
      </c>
    </row>
    <row r="2" customFormat="false" ht="15" hidden="false" customHeight="true" outlineLevel="0" collapsed="false">
      <c r="A2" s="1" t="s">
        <v>264</v>
      </c>
    </row>
    <row r="3" customFormat="false" ht="15" hidden="false" customHeight="true" outlineLevel="0" collapsed="false">
      <c r="A3" s="1" t="s">
        <v>265</v>
      </c>
      <c r="B3" s="1" t="s">
        <v>266</v>
      </c>
    </row>
    <row r="4" customFormat="false" ht="15" hidden="false" customHeight="true" outlineLevel="0" collapsed="false">
      <c r="A4" s="1" t="s">
        <v>267</v>
      </c>
      <c r="B4" s="56" t="n">
        <v>1500</v>
      </c>
    </row>
    <row r="5" customFormat="false" ht="15" hidden="false" customHeight="true" outlineLevel="0" collapsed="false">
      <c r="A5" s="1" t="s">
        <v>268</v>
      </c>
      <c r="B5" s="56" t="n">
        <v>2280</v>
      </c>
    </row>
    <row r="6" customFormat="false" ht="15" hidden="false" customHeight="true" outlineLevel="0" collapsed="false">
      <c r="A6" s="1" t="s">
        <v>269</v>
      </c>
      <c r="B6" s="56" t="n">
        <v>2870</v>
      </c>
    </row>
    <row r="7" customFormat="false" ht="15" hidden="false" customHeight="true" outlineLevel="0" collapsed="false">
      <c r="A7" s="1" t="s">
        <v>270</v>
      </c>
      <c r="B7" s="56" t="n">
        <v>3260</v>
      </c>
    </row>
    <row r="8" customFormat="false" ht="15" hidden="false" customHeight="true" outlineLevel="0" collapsed="false">
      <c r="A8" s="1" t="s">
        <v>271</v>
      </c>
      <c r="B8" s="56" t="n">
        <v>3450</v>
      </c>
    </row>
    <row r="9" customFormat="false" ht="15" hidden="false" customHeight="true" outlineLevel="0" collapsed="false">
      <c r="A9" s="1" t="s">
        <v>272</v>
      </c>
      <c r="B9" s="56" t="n">
        <v>3810</v>
      </c>
    </row>
    <row r="10" customFormat="false" ht="15" hidden="false" customHeight="true" outlineLevel="0" collapsed="false">
      <c r="A10" s="1" t="s">
        <v>273</v>
      </c>
      <c r="B10" s="56" t="n">
        <v>4020</v>
      </c>
    </row>
    <row r="11" customFormat="false" ht="15" hidden="false" customHeight="true" outlineLevel="0" collapsed="false">
      <c r="A11" s="1" t="s">
        <v>274</v>
      </c>
      <c r="B11" s="56" t="n">
        <v>4260</v>
      </c>
    </row>
    <row r="12" customFormat="false" ht="15" hidden="false" customHeight="true" outlineLevel="0" collapsed="false">
      <c r="A12" s="1" t="s">
        <v>275</v>
      </c>
      <c r="B12" s="56" t="n">
        <v>4490</v>
      </c>
    </row>
    <row r="13" customFormat="false" ht="15" hidden="false" customHeight="true" outlineLevel="0" collapsed="false">
      <c r="A13" s="1" t="s">
        <v>276</v>
      </c>
      <c r="B13" s="56" t="n">
        <v>4860</v>
      </c>
    </row>
    <row r="14" customFormat="false" ht="15" hidden="false" customHeight="true" outlineLevel="0" collapsed="false">
      <c r="A14" s="1" t="s">
        <v>277</v>
      </c>
      <c r="B14" s="56" t="n">
        <v>5280</v>
      </c>
    </row>
    <row r="15" customFormat="false" ht="15" hidden="false" customHeight="true" outlineLevel="0" collapsed="false">
      <c r="A15" s="1" t="s">
        <v>278</v>
      </c>
      <c r="B15" s="56" t="n">
        <v>5690</v>
      </c>
    </row>
    <row r="16" customFormat="false" ht="15" hidden="false" customHeight="true" outlineLevel="0" collapsed="false">
      <c r="A16" s="1" t="s">
        <v>279</v>
      </c>
      <c r="B16" s="56" t="n">
        <v>6100</v>
      </c>
    </row>
    <row r="17" customFormat="false" ht="15" hidden="false" customHeight="true" outlineLevel="0" collapsed="false">
      <c r="A17" s="1" t="s">
        <v>280</v>
      </c>
      <c r="B17" s="56" t="n">
        <v>6520</v>
      </c>
    </row>
    <row r="18" customFormat="false" ht="15" hidden="false" customHeight="true" outlineLevel="0" collapsed="false">
      <c r="A18" s="1" t="s">
        <v>281</v>
      </c>
      <c r="B18" s="56" t="n">
        <v>6940</v>
      </c>
    </row>
    <row r="19" customFormat="false" ht="15" hidden="false" customHeight="true" outlineLevel="0" collapsed="false">
      <c r="A19" s="1" t="s">
        <v>282</v>
      </c>
      <c r="B19" s="56" t="n">
        <v>7370</v>
      </c>
    </row>
    <row r="20" customFormat="false" ht="15" hidden="false" customHeight="true" outlineLevel="0" collapsed="false">
      <c r="A20" s="1" t="s">
        <v>283</v>
      </c>
      <c r="B20" s="56" t="n">
        <v>7790</v>
      </c>
    </row>
    <row r="21" customFormat="false" ht="15" hidden="false" customHeight="true" outlineLevel="0" collapsed="false">
      <c r="A21" s="1" t="s">
        <v>284</v>
      </c>
      <c r="B21" s="56" t="n">
        <v>8200</v>
      </c>
    </row>
    <row r="22" customFormat="false" ht="15" hidden="false" customHeight="true" outlineLevel="0" collapsed="false">
      <c r="A22" s="1" t="s">
        <v>285</v>
      </c>
      <c r="B22" s="56" t="n">
        <v>8610</v>
      </c>
    </row>
    <row r="23" customFormat="false" ht="15" hidden="false" customHeight="true" outlineLevel="0" collapsed="false">
      <c r="A23" s="1" t="s">
        <v>286</v>
      </c>
      <c r="B23" s="56" t="n">
        <v>9020</v>
      </c>
    </row>
    <row r="24" customFormat="false" ht="15" hidden="false" customHeight="true" outlineLevel="0" collapsed="false">
      <c r="A24" s="1" t="s">
        <v>287</v>
      </c>
      <c r="B24" s="56" t="n">
        <v>9440</v>
      </c>
    </row>
    <row r="25" customFormat="false" ht="15" hidden="false" customHeight="true" outlineLevel="0" collapsed="false">
      <c r="A25" s="1" t="s">
        <v>288</v>
      </c>
      <c r="B25" s="56" t="n">
        <v>9860</v>
      </c>
    </row>
    <row r="26" customFormat="false" ht="15" hidden="false" customHeight="true" outlineLevel="0" collapsed="false">
      <c r="A26" s="1" t="s">
        <v>289</v>
      </c>
      <c r="B26" s="56" t="n">
        <v>10280</v>
      </c>
    </row>
    <row r="27" customFormat="false" ht="15" hidden="false" customHeight="true" outlineLevel="0" collapsed="false">
      <c r="A27" s="1" t="s">
        <v>290</v>
      </c>
      <c r="B27" s="56" t="n">
        <v>10700</v>
      </c>
    </row>
    <row r="28" customFormat="false" ht="15" hidden="false" customHeight="true" outlineLevel="0" collapsed="false">
      <c r="A28" s="1" t="s">
        <v>291</v>
      </c>
      <c r="B28" s="56" t="n">
        <v>11120</v>
      </c>
    </row>
    <row r="29" customFormat="false" ht="15" hidden="false" customHeight="true" outlineLevel="0" collapsed="false">
      <c r="A29" s="1" t="s">
        <v>292</v>
      </c>
      <c r="B29" s="56" t="n">
        <v>11530</v>
      </c>
    </row>
    <row r="30" customFormat="false" ht="15" hidden="false" customHeight="true" outlineLevel="0" collapsed="false">
      <c r="A30" s="1" t="s">
        <v>293</v>
      </c>
      <c r="B30" s="56" t="n">
        <v>11940</v>
      </c>
    </row>
    <row r="31" customFormat="false" ht="15" hidden="false" customHeight="true" outlineLevel="0" collapsed="false">
      <c r="A31" s="1" t="s">
        <v>294</v>
      </c>
      <c r="B31" s="56" t="n">
        <v>12350</v>
      </c>
    </row>
    <row r="32" customFormat="false" ht="15" hidden="false" customHeight="true" outlineLevel="0" collapsed="false">
      <c r="A32" s="1" t="s">
        <v>295</v>
      </c>
      <c r="B32" s="56" t="n">
        <v>12760</v>
      </c>
    </row>
    <row r="33" customFormat="false" ht="15" hidden="false" customHeight="true" outlineLevel="0" collapsed="false">
      <c r="A33" s="1" t="s">
        <v>296</v>
      </c>
      <c r="B33" s="56" t="n">
        <v>13180</v>
      </c>
    </row>
    <row r="34" customFormat="false" ht="15" hidden="false" customHeight="true" outlineLevel="0" collapsed="false">
      <c r="A34" s="1" t="s">
        <v>297</v>
      </c>
      <c r="B34" s="56" t="n">
        <v>13610</v>
      </c>
    </row>
    <row r="35" customFormat="false" ht="15" hidden="false" customHeight="true" outlineLevel="0" collapsed="false">
      <c r="A35" s="1" t="s">
        <v>298</v>
      </c>
      <c r="B35" s="56" t="n">
        <v>14030</v>
      </c>
    </row>
    <row r="36" customFormat="false" ht="15" hidden="false" customHeight="true" outlineLevel="0" collapsed="false">
      <c r="A36" s="1" t="s">
        <v>299</v>
      </c>
      <c r="B36" s="56" t="n">
        <v>14450</v>
      </c>
    </row>
    <row r="37" customFormat="false" ht="15" hidden="false" customHeight="true" outlineLevel="0" collapsed="false">
      <c r="A37" s="1" t="s">
        <v>300</v>
      </c>
      <c r="B37" s="56" t="n">
        <v>14870</v>
      </c>
    </row>
    <row r="38" customFormat="false" ht="15" hidden="false" customHeight="true" outlineLevel="0" collapsed="false">
      <c r="A38" s="1" t="s">
        <v>301</v>
      </c>
      <c r="B38" s="56" t="n">
        <v>15290</v>
      </c>
    </row>
    <row r="39" customFormat="false" ht="15" hidden="false" customHeight="true" outlineLevel="0" collapsed="false">
      <c r="A39" s="1" t="s">
        <v>302</v>
      </c>
      <c r="B39" s="56" t="n">
        <v>15710</v>
      </c>
    </row>
    <row r="40" customFormat="false" ht="15" hidden="false" customHeight="true" outlineLevel="0" collapsed="false">
      <c r="A40" s="1" t="s">
        <v>303</v>
      </c>
      <c r="B40" s="56" t="n">
        <v>16130</v>
      </c>
    </row>
    <row r="41" customFormat="false" ht="15" hidden="false" customHeight="true" outlineLevel="0" collapsed="false">
      <c r="A41" s="1" t="s">
        <v>304</v>
      </c>
      <c r="B41" s="56" t="n">
        <v>16540</v>
      </c>
    </row>
    <row r="42" customFormat="false" ht="15" hidden="false" customHeight="true" outlineLevel="0" collapsed="false">
      <c r="A42" s="1" t="s">
        <v>305</v>
      </c>
      <c r="B42" s="56" t="n">
        <v>16960</v>
      </c>
    </row>
    <row r="43" customFormat="false" ht="15" hidden="false" customHeight="true" outlineLevel="0" collapsed="false">
      <c r="A43" s="1" t="s">
        <v>306</v>
      </c>
      <c r="B43" s="56" t="n">
        <v>17380</v>
      </c>
    </row>
    <row r="44" customFormat="false" ht="15" hidden="false" customHeight="true" outlineLevel="0" collapsed="false">
      <c r="A44" s="1" t="s">
        <v>307</v>
      </c>
      <c r="B44" s="56" t="n">
        <v>17800</v>
      </c>
    </row>
    <row r="45" customFormat="false" ht="15" hidden="false" customHeight="true" outlineLevel="0" collapsed="false">
      <c r="A45" s="1" t="s">
        <v>308</v>
      </c>
      <c r="B45" s="56" t="n">
        <v>18220</v>
      </c>
    </row>
    <row r="46" customFormat="false" ht="15" hidden="false" customHeight="true" outlineLevel="0" collapsed="false">
      <c r="A46" s="1" t="s">
        <v>309</v>
      </c>
      <c r="B46" s="56" t="n">
        <v>18640</v>
      </c>
    </row>
    <row r="47" customFormat="false" ht="15" hidden="false" customHeight="true" outlineLevel="0" collapsed="false">
      <c r="A47" s="1" t="s">
        <v>310</v>
      </c>
      <c r="B47" s="56" t="n">
        <v>19060</v>
      </c>
    </row>
    <row r="48" customFormat="false" ht="15" hidden="false" customHeight="true" outlineLevel="0" collapsed="false">
      <c r="A48" s="1" t="s">
        <v>311</v>
      </c>
      <c r="B48" s="56" t="n">
        <v>19470</v>
      </c>
    </row>
    <row r="49" customFormat="false" ht="15" hidden="false" customHeight="true" outlineLevel="0" collapsed="false">
      <c r="A49" s="1" t="s">
        <v>312</v>
      </c>
      <c r="B49" s="56" t="n">
        <v>19880</v>
      </c>
    </row>
    <row r="50" customFormat="false" ht="15" hidden="false" customHeight="true" outlineLevel="0" collapsed="false">
      <c r="A50" s="1" t="s">
        <v>313</v>
      </c>
      <c r="B50" s="56" t="n">
        <v>20330</v>
      </c>
    </row>
    <row r="51" customFormat="false" ht="15" hidden="false" customHeight="true" outlineLevel="0" collapsed="false">
      <c r="A51" s="1" t="s">
        <v>314</v>
      </c>
      <c r="B51" s="56" t="n">
        <v>20900</v>
      </c>
    </row>
    <row r="52" customFormat="false" ht="15" hidden="false" customHeight="true" outlineLevel="0" collapsed="false">
      <c r="A52" s="1" t="s">
        <v>315</v>
      </c>
      <c r="B52" s="56" t="n">
        <v>21470</v>
      </c>
    </row>
    <row r="53" customFormat="false" ht="15" hidden="false" customHeight="true" outlineLevel="0" collapsed="false">
      <c r="A53" s="1" t="s">
        <v>316</v>
      </c>
      <c r="B53" s="56" t="n">
        <v>22040</v>
      </c>
    </row>
    <row r="54" customFormat="false" ht="15" hidden="false" customHeight="true" outlineLevel="0" collapsed="false">
      <c r="A54" s="1" t="s">
        <v>317</v>
      </c>
      <c r="B54" s="56" t="n">
        <v>22430</v>
      </c>
    </row>
    <row r="55" customFormat="false" ht="15" hidden="false" customHeight="true" outlineLevel="0" collapsed="false">
      <c r="A55" s="1" t="s">
        <v>318</v>
      </c>
      <c r="B55" s="56" t="n">
        <v>22640</v>
      </c>
    </row>
    <row r="56" customFormat="false" ht="15" hidden="false" customHeight="true" outlineLevel="0" collapsed="false">
      <c r="A56" s="1" t="s">
        <v>319</v>
      </c>
      <c r="B56" s="56" t="n">
        <v>22860</v>
      </c>
    </row>
    <row r="57" customFormat="false" ht="15" hidden="false" customHeight="true" outlineLevel="0" collapsed="false">
      <c r="A57" s="1" t="s">
        <v>320</v>
      </c>
      <c r="B57" s="56" t="n">
        <v>23070</v>
      </c>
    </row>
    <row r="58" customFormat="false" ht="15" hidden="false" customHeight="true" outlineLevel="0" collapsed="false">
      <c r="A58" s="1" t="s">
        <v>321</v>
      </c>
      <c r="B58" s="56" t="n">
        <v>23280</v>
      </c>
    </row>
    <row r="59" customFormat="false" ht="15" hidden="false" customHeight="true" outlineLevel="0" collapsed="false">
      <c r="A59" s="1" t="s">
        <v>322</v>
      </c>
      <c r="B59" s="56" t="n">
        <v>23600</v>
      </c>
    </row>
    <row r="60" customFormat="false" ht="15" hidden="false" customHeight="true" outlineLevel="0" collapsed="false">
      <c r="A60" s="1" t="s">
        <v>323</v>
      </c>
      <c r="B60" s="56" t="n">
        <v>24010</v>
      </c>
    </row>
    <row r="61" customFormat="false" ht="15" hidden="false" customHeight="true" outlineLevel="0" collapsed="false">
      <c r="A61" s="1" t="s">
        <v>324</v>
      </c>
      <c r="B61" s="56" t="n">
        <v>24430</v>
      </c>
    </row>
    <row r="62" customFormat="false" ht="15" hidden="false" customHeight="true" outlineLevel="0" collapsed="false">
      <c r="A62" s="1" t="s">
        <v>325</v>
      </c>
      <c r="B62" s="56" t="n">
        <v>24850</v>
      </c>
    </row>
    <row r="63" customFormat="false" ht="15" hidden="false" customHeight="true" outlineLevel="0" collapsed="false">
      <c r="A63" s="1" t="s">
        <v>326</v>
      </c>
      <c r="B63" s="56" t="n">
        <v>25260</v>
      </c>
    </row>
    <row r="64" customFormat="false" ht="15" hidden="false" customHeight="true" outlineLevel="0" collapsed="false">
      <c r="A64" s="1" t="s">
        <v>327</v>
      </c>
      <c r="B64" s="56" t="n">
        <v>25680</v>
      </c>
    </row>
    <row r="65" customFormat="false" ht="15" hidden="false" customHeight="true" outlineLevel="0" collapsed="false">
      <c r="A65" s="1" t="s">
        <v>328</v>
      </c>
      <c r="B65" s="56" t="n">
        <v>26090</v>
      </c>
    </row>
    <row r="66" customFormat="false" ht="15" hidden="false" customHeight="true" outlineLevel="0" collapsed="false">
      <c r="A66" s="1" t="s">
        <v>329</v>
      </c>
      <c r="B66" s="56" t="n">
        <v>26510</v>
      </c>
    </row>
    <row r="67" customFormat="false" ht="15" hidden="false" customHeight="true" outlineLevel="0" collapsed="false">
      <c r="A67" s="1" t="s">
        <v>330</v>
      </c>
      <c r="B67" s="56" t="n">
        <v>26930</v>
      </c>
    </row>
    <row r="68" customFormat="false" ht="15" hidden="false" customHeight="true" outlineLevel="0" collapsed="false">
      <c r="A68" s="1" t="s">
        <v>331</v>
      </c>
      <c r="B68" s="56" t="n">
        <v>27340</v>
      </c>
    </row>
    <row r="69" customFormat="false" ht="15" hidden="false" customHeight="true" outlineLevel="0" collapsed="false">
      <c r="A69" s="1" t="s">
        <v>332</v>
      </c>
      <c r="B69" s="56" t="n">
        <v>27730</v>
      </c>
    </row>
    <row r="70" customFormat="false" ht="15" hidden="false" customHeight="true" outlineLevel="0" collapsed="false">
      <c r="A70" s="1" t="s">
        <v>333</v>
      </c>
      <c r="B70" s="56" t="n">
        <v>28080</v>
      </c>
    </row>
    <row r="71" customFormat="false" ht="15" hidden="false" customHeight="true" outlineLevel="0" collapsed="false">
      <c r="A71" s="1" t="s">
        <v>334</v>
      </c>
      <c r="B71" s="56" t="n">
        <v>28440</v>
      </c>
    </row>
    <row r="72" customFormat="false" ht="15" hidden="false" customHeight="true" outlineLevel="0" collapsed="false">
      <c r="A72" s="1" t="s">
        <v>335</v>
      </c>
      <c r="B72" s="56" t="n">
        <v>28800</v>
      </c>
    </row>
    <row r="73" customFormat="false" ht="15" hidden="false" customHeight="true" outlineLevel="0" collapsed="false">
      <c r="A73" s="1" t="s">
        <v>336</v>
      </c>
      <c r="B73" s="56" t="n">
        <v>29150</v>
      </c>
    </row>
    <row r="74" customFormat="false" ht="15" hidden="false" customHeight="true" outlineLevel="0" collapsed="false">
      <c r="A74" s="1" t="s">
        <v>337</v>
      </c>
      <c r="B74" s="56" t="n">
        <v>29570</v>
      </c>
    </row>
    <row r="75" customFormat="false" ht="15" hidden="false" customHeight="true" outlineLevel="0" collapsed="false">
      <c r="A75" s="1" t="s">
        <v>338</v>
      </c>
      <c r="B75" s="56" t="n">
        <v>30050</v>
      </c>
    </row>
    <row r="76" customFormat="false" ht="15" hidden="false" customHeight="true" outlineLevel="0" collapsed="false">
      <c r="A76" s="1" t="s">
        <v>339</v>
      </c>
      <c r="B76" s="56" t="n">
        <v>30530</v>
      </c>
    </row>
    <row r="77" customFormat="false" ht="15" hidden="false" customHeight="true" outlineLevel="0" collapsed="false">
      <c r="A77" s="1" t="s">
        <v>340</v>
      </c>
      <c r="B77" s="56" t="n">
        <v>31010</v>
      </c>
    </row>
    <row r="78" customFormat="false" ht="15" hidden="false" customHeight="true" outlineLevel="0" collapsed="false">
      <c r="A78" s="1" t="s">
        <v>341</v>
      </c>
      <c r="B78" s="56" t="n">
        <v>31490</v>
      </c>
    </row>
    <row r="79" customFormat="false" ht="15" hidden="false" customHeight="true" outlineLevel="0" collapsed="false">
      <c r="A79" s="1" t="s">
        <v>342</v>
      </c>
      <c r="B79" s="56" t="n">
        <v>31940</v>
      </c>
    </row>
    <row r="80" customFormat="false" ht="15" hidden="false" customHeight="true" outlineLevel="0" collapsed="false">
      <c r="A80" s="1" t="s">
        <v>343</v>
      </c>
      <c r="B80" s="56" t="n">
        <v>32360</v>
      </c>
    </row>
    <row r="81" customFormat="false" ht="15" hidden="false" customHeight="true" outlineLevel="0" collapsed="false">
      <c r="A81" s="1" t="s">
        <v>344</v>
      </c>
      <c r="B81" s="56" t="n">
        <v>32780</v>
      </c>
    </row>
    <row r="82" customFormat="false" ht="15" hidden="false" customHeight="true" outlineLevel="0" collapsed="false">
      <c r="A82" s="1" t="s">
        <v>345</v>
      </c>
      <c r="B82" s="56" t="n">
        <v>33210</v>
      </c>
    </row>
    <row r="83" customFormat="false" ht="15" hidden="false" customHeight="true" outlineLevel="0" collapsed="false">
      <c r="A83" s="1" t="s">
        <v>346</v>
      </c>
      <c r="B83" s="56" t="n">
        <v>33630</v>
      </c>
    </row>
    <row r="84" customFormat="false" ht="15" hidden="false" customHeight="true" outlineLevel="0" collapsed="false">
      <c r="A84" s="1" t="s">
        <v>347</v>
      </c>
      <c r="B84" s="56" t="n">
        <v>34050</v>
      </c>
    </row>
    <row r="85" customFormat="false" ht="15" hidden="false" customHeight="true" outlineLevel="0" collapsed="false">
      <c r="A85" s="1" t="s">
        <v>348</v>
      </c>
      <c r="B85" s="56" t="n">
        <v>34470</v>
      </c>
    </row>
    <row r="86" customFormat="false" ht="15" hidden="false" customHeight="true" outlineLevel="0" collapsed="false">
      <c r="A86" s="1" t="s">
        <v>349</v>
      </c>
      <c r="B86" s="56" t="n">
        <v>34900</v>
      </c>
    </row>
    <row r="87" customFormat="false" ht="15" hidden="false" customHeight="true" outlineLevel="0" collapsed="false">
      <c r="A87" s="1" t="s">
        <v>350</v>
      </c>
      <c r="B87" s="56" t="n">
        <v>35320</v>
      </c>
    </row>
    <row r="88" customFormat="false" ht="15" hidden="false" customHeight="true" outlineLevel="0" collapsed="false">
      <c r="A88" s="1" t="s">
        <v>351</v>
      </c>
      <c r="B88" s="56" t="n">
        <v>35740</v>
      </c>
    </row>
    <row r="89" customFormat="false" ht="15" hidden="false" customHeight="true" outlineLevel="0" collapsed="false">
      <c r="A89" s="1" t="s">
        <v>352</v>
      </c>
      <c r="B89" s="56" t="n">
        <v>36160</v>
      </c>
    </row>
    <row r="90" customFormat="false" ht="15" hidden="false" customHeight="true" outlineLevel="0" collapsed="false">
      <c r="A90" s="1" t="s">
        <v>353</v>
      </c>
      <c r="B90" s="56" t="n">
        <v>36580</v>
      </c>
    </row>
    <row r="91" customFormat="false" ht="15" hidden="false" customHeight="true" outlineLevel="0" collapsed="false">
      <c r="A91" s="1" t="s">
        <v>354</v>
      </c>
      <c r="B91" s="56" t="n">
        <v>37000</v>
      </c>
    </row>
    <row r="92" customFormat="false" ht="15" hidden="false" customHeight="true" outlineLevel="0" collapsed="false">
      <c r="A92" s="1" t="s">
        <v>355</v>
      </c>
      <c r="B92" s="56" t="n">
        <v>37410</v>
      </c>
    </row>
    <row r="93" customFormat="false" ht="15" hidden="false" customHeight="true" outlineLevel="0" collapsed="false">
      <c r="A93" s="1" t="s">
        <v>356</v>
      </c>
      <c r="B93" s="56" t="n">
        <v>37830</v>
      </c>
    </row>
    <row r="94" customFormat="false" ht="15" hidden="false" customHeight="true" outlineLevel="0" collapsed="false">
      <c r="A94" s="1" t="s">
        <v>357</v>
      </c>
      <c r="B94" s="56" t="n">
        <v>38250</v>
      </c>
    </row>
    <row r="95" customFormat="false" ht="15" hidden="false" customHeight="true" outlineLevel="0" collapsed="false">
      <c r="A95" s="1" t="s">
        <v>358</v>
      </c>
      <c r="B95" s="56" t="n">
        <v>38670</v>
      </c>
    </row>
    <row r="96" customFormat="false" ht="15" hidden="false" customHeight="true" outlineLevel="0" collapsed="false">
      <c r="A96" s="1" t="s">
        <v>359</v>
      </c>
      <c r="B96" s="56" t="n">
        <v>39080</v>
      </c>
    </row>
    <row r="97" customFormat="false" ht="15" hidden="false" customHeight="true" outlineLevel="0" collapsed="false">
      <c r="A97" s="1" t="s">
        <v>360</v>
      </c>
      <c r="B97" s="56" t="n">
        <v>39500</v>
      </c>
    </row>
    <row r="98" customFormat="false" ht="15" hidden="false" customHeight="true" outlineLevel="0" collapsed="false">
      <c r="A98" s="1" t="s">
        <v>361</v>
      </c>
      <c r="B98" s="56" t="n">
        <v>39920</v>
      </c>
    </row>
    <row r="99" customFormat="false" ht="15" hidden="false" customHeight="true" outlineLevel="0" collapsed="false">
      <c r="A99" s="1" t="s">
        <v>362</v>
      </c>
      <c r="B99" s="56" t="n">
        <v>40340</v>
      </c>
    </row>
    <row r="100" customFormat="false" ht="15" hidden="false" customHeight="true" outlineLevel="0" collapsed="false">
      <c r="A100" s="1" t="s">
        <v>363</v>
      </c>
      <c r="B100" s="56" t="n">
        <v>40750</v>
      </c>
    </row>
    <row r="101" customFormat="false" ht="15" hidden="false" customHeight="true" outlineLevel="0" collapsed="false">
      <c r="A101" s="1" t="s">
        <v>364</v>
      </c>
      <c r="B101" s="56" t="n">
        <v>41160</v>
      </c>
    </row>
    <row r="102" customFormat="false" ht="15" hidden="false" customHeight="true" outlineLevel="0" collapsed="false">
      <c r="A102" s="1" t="s">
        <v>365</v>
      </c>
      <c r="B102" s="56" t="n">
        <v>41580</v>
      </c>
    </row>
    <row r="103" customFormat="false" ht="15" hidden="false" customHeight="true" outlineLevel="0" collapsed="false">
      <c r="A103" s="1" t="s">
        <v>366</v>
      </c>
      <c r="B103" s="56" t="n">
        <v>41990</v>
      </c>
    </row>
    <row r="104" customFormat="false" ht="15" hidden="false" customHeight="true" outlineLevel="0" collapsed="false">
      <c r="A104" s="1" t="s">
        <v>367</v>
      </c>
      <c r="B104" s="56" t="n">
        <v>42410</v>
      </c>
    </row>
    <row r="105" customFormat="false" ht="15" hidden="false" customHeight="true" outlineLevel="0" collapsed="false">
      <c r="A105" s="1" t="s">
        <v>368</v>
      </c>
      <c r="B105" s="56" t="n">
        <v>42820</v>
      </c>
    </row>
    <row r="106" customFormat="false" ht="15" hidden="false" customHeight="true" outlineLevel="0" collapsed="false">
      <c r="A106" s="1" t="s">
        <v>369</v>
      </c>
      <c r="B106" s="56" t="n">
        <v>43240</v>
      </c>
    </row>
    <row r="107" customFormat="false" ht="15" hidden="false" customHeight="true" outlineLevel="0" collapsed="false">
      <c r="A107" s="1" t="s">
        <v>370</v>
      </c>
      <c r="B107" s="56" t="n">
        <v>43660</v>
      </c>
    </row>
    <row r="108" customFormat="false" ht="15" hidden="false" customHeight="true" outlineLevel="0" collapsed="false">
      <c r="A108" s="1" t="s">
        <v>371</v>
      </c>
      <c r="B108" s="56" t="n">
        <v>44070</v>
      </c>
    </row>
    <row r="109" customFormat="false" ht="15" hidden="false" customHeight="true" outlineLevel="0" collapsed="false">
      <c r="A109" s="1" t="s">
        <v>372</v>
      </c>
      <c r="B109" s="56" t="n">
        <v>44490</v>
      </c>
    </row>
    <row r="110" customFormat="false" ht="15" hidden="false" customHeight="true" outlineLevel="0" collapsed="false">
      <c r="A110" s="1" t="s">
        <v>373</v>
      </c>
      <c r="B110" s="56" t="n">
        <v>44920</v>
      </c>
    </row>
    <row r="111" customFormat="false" ht="15" hidden="false" customHeight="true" outlineLevel="0" collapsed="false">
      <c r="A111" s="1" t="s">
        <v>374</v>
      </c>
      <c r="B111" s="56" t="n">
        <v>45340</v>
      </c>
    </row>
    <row r="112" customFormat="false" ht="15" hidden="false" customHeight="true" outlineLevel="0" collapsed="false">
      <c r="A112" s="1" t="s">
        <v>375</v>
      </c>
      <c r="B112" s="56" t="n">
        <v>45770</v>
      </c>
    </row>
    <row r="113" customFormat="false" ht="15" hidden="false" customHeight="true" outlineLevel="0" collapsed="false">
      <c r="A113" s="1" t="s">
        <v>376</v>
      </c>
      <c r="B113" s="56" t="n">
        <v>46200</v>
      </c>
    </row>
    <row r="114" customFormat="false" ht="15" hidden="false" customHeight="true" outlineLevel="0" collapsed="false">
      <c r="A114" s="1" t="s">
        <v>377</v>
      </c>
      <c r="B114" s="56" t="n">
        <v>46620</v>
      </c>
    </row>
    <row r="115" customFormat="false" ht="15" hidden="false" customHeight="true" outlineLevel="0" collapsed="false">
      <c r="A115" s="1" t="s">
        <v>378</v>
      </c>
      <c r="B115" s="56" t="n">
        <v>47030</v>
      </c>
    </row>
    <row r="116" customFormat="false" ht="15" hidden="false" customHeight="true" outlineLevel="0" collapsed="false">
      <c r="A116" s="1" t="s">
        <v>379</v>
      </c>
      <c r="B116" s="56" t="n">
        <v>47440</v>
      </c>
    </row>
    <row r="117" customFormat="false" ht="15" hidden="false" customHeight="true" outlineLevel="0" collapsed="false">
      <c r="A117" s="1" t="s">
        <v>380</v>
      </c>
      <c r="B117" s="56" t="n">
        <v>47860</v>
      </c>
    </row>
    <row r="118" customFormat="false" ht="15" hidden="false" customHeight="true" outlineLevel="0" collapsed="false">
      <c r="A118" s="1" t="s">
        <v>381</v>
      </c>
      <c r="B118" s="56" t="n">
        <v>48270</v>
      </c>
    </row>
    <row r="119" customFormat="false" ht="15" hidden="false" customHeight="true" outlineLevel="0" collapsed="false">
      <c r="A119" s="1" t="s">
        <v>382</v>
      </c>
      <c r="B119" s="56" t="n">
        <v>48690</v>
      </c>
    </row>
    <row r="120" customFormat="false" ht="15" hidden="false" customHeight="true" outlineLevel="0" collapsed="false">
      <c r="A120" s="1" t="s">
        <v>383</v>
      </c>
      <c r="B120" s="56" t="n">
        <v>49110</v>
      </c>
    </row>
    <row r="121" customFormat="false" ht="15" hidden="false" customHeight="true" outlineLevel="0" collapsed="false">
      <c r="A121" s="1" t="s">
        <v>384</v>
      </c>
      <c r="B121" s="56" t="n">
        <v>49540</v>
      </c>
    </row>
    <row r="122" customFormat="false" ht="15" hidden="false" customHeight="true" outlineLevel="0" collapsed="false">
      <c r="A122" s="1" t="s">
        <v>385</v>
      </c>
      <c r="B122" s="56" t="n">
        <v>49960</v>
      </c>
    </row>
    <row r="123" customFormat="false" ht="15" hidden="false" customHeight="true" outlineLevel="0" collapsed="false">
      <c r="A123" s="1" t="s">
        <v>386</v>
      </c>
      <c r="B123" s="56" t="n">
        <v>50380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387</v>
      </c>
      <c r="C1" s="69" t="n">
        <v>2026</v>
      </c>
    </row>
    <row r="2" customFormat="false" ht="15" hidden="false" customHeight="true" outlineLevel="0" collapsed="false">
      <c r="A2" s="70" t="s">
        <v>388</v>
      </c>
      <c r="B2" s="70" t="s">
        <v>389</v>
      </c>
      <c r="C2" s="71" t="n">
        <v>2885</v>
      </c>
    </row>
    <row r="3" customFormat="false" ht="15" hidden="false" customHeight="true" outlineLevel="0" collapsed="false">
      <c r="B3" s="70" t="s">
        <v>390</v>
      </c>
      <c r="C3" s="71" t="n">
        <v>3303</v>
      </c>
    </row>
    <row r="4" customFormat="false" ht="15" hidden="false" customHeight="true" outlineLevel="0" collapsed="false">
      <c r="B4" s="70" t="s">
        <v>391</v>
      </c>
      <c r="C4" s="71" t="n">
        <v>3756</v>
      </c>
    </row>
    <row r="5" customFormat="false" ht="15" hidden="false" customHeight="true" outlineLevel="0" collapsed="false">
      <c r="B5" s="70" t="s">
        <v>392</v>
      </c>
      <c r="C5" s="71" t="n">
        <v>4314</v>
      </c>
    </row>
    <row r="6" customFormat="false" ht="15" hidden="false" customHeight="true" outlineLevel="0" collapsed="false">
      <c r="B6" s="70" t="s">
        <v>393</v>
      </c>
      <c r="C6" s="71" t="n">
        <v>5315</v>
      </c>
    </row>
    <row r="7" customFormat="false" ht="15" hidden="false" customHeight="true" outlineLevel="0" collapsed="false">
      <c r="B7" s="70" t="s">
        <v>394</v>
      </c>
      <c r="C7" s="71" t="n">
        <v>6275</v>
      </c>
    </row>
    <row r="8" customFormat="false" ht="15" hidden="false" customHeight="true" outlineLevel="0" collapsed="false">
      <c r="B8" s="70" t="s">
        <v>395</v>
      </c>
      <c r="C8" s="71" t="n">
        <v>7306</v>
      </c>
    </row>
    <row r="9" customFormat="false" ht="15" hidden="false" customHeight="true" outlineLevel="0" collapsed="false">
      <c r="B9" s="70" t="s">
        <v>396</v>
      </c>
      <c r="C9" s="1" t="n">
        <v>8308</v>
      </c>
    </row>
    <row r="10" customFormat="false" ht="15" hidden="false" customHeight="true" outlineLevel="0" collapsed="false">
      <c r="B10" s="70" t="s">
        <v>397</v>
      </c>
      <c r="C10" s="1" t="n">
        <v>9278</v>
      </c>
    </row>
    <row r="11" customFormat="false" ht="15" hidden="false" customHeight="true" outlineLevel="0" collapsed="false">
      <c r="B11" s="70" t="s">
        <v>398</v>
      </c>
      <c r="C11" s="1" t="n">
        <v>10392</v>
      </c>
    </row>
    <row r="12" customFormat="false" ht="15" hidden="false" customHeight="true" outlineLevel="0" collapsed="false">
      <c r="B12" s="70" t="s">
        <v>399</v>
      </c>
      <c r="C12" s="1" t="n">
        <v>11228</v>
      </c>
    </row>
    <row r="13" customFormat="false" ht="15" hidden="false" customHeight="true" outlineLevel="0" collapsed="false">
      <c r="B13" s="70" t="s">
        <v>400</v>
      </c>
    </row>
    <row r="14" customFormat="false" ht="15" hidden="false" customHeight="true" outlineLevel="0" collapsed="false">
      <c r="B14" s="70" t="s">
        <v>401</v>
      </c>
      <c r="C14" s="1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402</v>
      </c>
    </row>
    <row r="2" customFormat="false" ht="15" hidden="false" customHeight="true" outlineLevel="0" collapsed="false">
      <c r="A2" s="72" t="s">
        <v>403</v>
      </c>
      <c r="B2" s="73" t="n">
        <v>2026</v>
      </c>
    </row>
    <row r="3" customFormat="false" ht="15" hidden="false" customHeight="true" outlineLevel="0" collapsed="false">
      <c r="A3" s="72" t="s">
        <v>404</v>
      </c>
      <c r="B3" s="70" t="n">
        <v>1430</v>
      </c>
    </row>
    <row r="4" customFormat="false" ht="15" hidden="false" customHeight="true" outlineLevel="0" collapsed="false">
      <c r="A4" s="72" t="s">
        <v>405</v>
      </c>
      <c r="B4" s="70" t="n">
        <v>1640</v>
      </c>
    </row>
    <row r="5" customFormat="false" ht="15" hidden="false" customHeight="true" outlineLevel="0" collapsed="false">
      <c r="A5" s="72" t="s">
        <v>406</v>
      </c>
      <c r="B5" s="70" t="n">
        <v>1880</v>
      </c>
    </row>
    <row r="6" customFormat="false" ht="15" hidden="false" customHeight="true" outlineLevel="0" collapsed="false">
      <c r="A6" s="72" t="s">
        <v>407</v>
      </c>
      <c r="B6" s="70" t="n">
        <v>2100</v>
      </c>
    </row>
    <row r="7" customFormat="false" ht="15" hidden="false" customHeight="true" outlineLevel="0" collapsed="false">
      <c r="A7" s="72" t="s">
        <v>408</v>
      </c>
      <c r="B7" s="70" t="n">
        <v>2300</v>
      </c>
    </row>
    <row r="8" customFormat="false" ht="15" hidden="false" customHeight="true" outlineLevel="0" collapsed="false">
      <c r="A8" s="70" t="s">
        <v>409</v>
      </c>
      <c r="B8" s="70" t="n">
        <v>2600</v>
      </c>
    </row>
    <row r="10" customFormat="false" ht="15" hidden="false" customHeight="true" outlineLevel="0" collapsed="false">
      <c r="A10" s="72" t="s">
        <v>410</v>
      </c>
      <c r="B10" s="1" t="s">
        <v>411</v>
      </c>
      <c r="C10" s="74" t="n">
        <v>790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75" t="s">
        <v>412</v>
      </c>
    </row>
    <row r="2" customFormat="false" ht="15" hidden="false" customHeight="true" outlineLevel="0" collapsed="false">
      <c r="B2" s="73" t="n">
        <v>2026</v>
      </c>
    </row>
    <row r="3" customFormat="false" ht="15" hidden="false" customHeight="true" outlineLevel="0" collapsed="false">
      <c r="A3" s="76" t="s">
        <v>389</v>
      </c>
      <c r="B3" s="1" t="n">
        <v>7410</v>
      </c>
    </row>
    <row r="4" customFormat="false" ht="15" hidden="false" customHeight="true" outlineLevel="0" collapsed="false">
      <c r="A4" s="1" t="s">
        <v>390</v>
      </c>
      <c r="B4" s="1" t="n">
        <v>10550</v>
      </c>
    </row>
    <row r="5" customFormat="false" ht="15" hidden="false" customHeight="true" outlineLevel="0" collapsed="false">
      <c r="A5" s="1" t="s">
        <v>391</v>
      </c>
      <c r="B5" s="1" t="n">
        <v>13830</v>
      </c>
    </row>
    <row r="6" customFormat="false" ht="15" hidden="false" customHeight="true" outlineLevel="0" collapsed="false">
      <c r="A6" s="1" t="s">
        <v>392</v>
      </c>
      <c r="B6" s="1" t="n">
        <v>17510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413</v>
      </c>
    </row>
    <row r="2" customFormat="false" ht="15" hidden="false" customHeight="true" outlineLevel="0" collapsed="false">
      <c r="A2" s="77" t="s">
        <v>389</v>
      </c>
      <c r="B2" s="1" t="n">
        <v>2580</v>
      </c>
    </row>
    <row r="3" customFormat="false" ht="15" hidden="false" customHeight="true" outlineLevel="0" collapsed="false">
      <c r="A3" s="78" t="s">
        <v>390</v>
      </c>
      <c r="B3" s="1" t="n">
        <v>3100</v>
      </c>
    </row>
    <row r="4" customFormat="false" ht="15" hidden="false" customHeight="true" outlineLevel="0" collapsed="false">
      <c r="A4" s="78" t="s">
        <v>391</v>
      </c>
      <c r="B4" s="1" t="n">
        <v>3600</v>
      </c>
    </row>
    <row r="5" customFormat="false" ht="15" hidden="false" customHeight="true" outlineLevel="0" collapsed="false">
      <c r="A5" s="78" t="s">
        <v>392</v>
      </c>
      <c r="B5" s="1" t="n">
        <v>4150</v>
      </c>
    </row>
    <row r="6" customFormat="false" ht="15" hidden="false" customHeight="true" outlineLevel="0" collapsed="false">
      <c r="A6" s="78" t="s">
        <v>393</v>
      </c>
      <c r="B6" s="1" t="n">
        <v>4640</v>
      </c>
    </row>
    <row r="7" customFormat="false" ht="15" hidden="false" customHeight="true" outlineLevel="0" collapsed="false">
      <c r="A7" s="78" t="s">
        <v>414</v>
      </c>
      <c r="B7" s="1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true" outlineLevel="0" collapsed="false">
      <c r="A1" s="1" t="s">
        <v>415</v>
      </c>
    </row>
    <row r="2" customFormat="false" ht="15" hidden="false" customHeight="true" outlineLevel="0" collapsed="false">
      <c r="B2" s="73" t="s">
        <v>5</v>
      </c>
    </row>
    <row r="3" customFormat="false" ht="15" hidden="false" customHeight="true" outlineLevel="0" collapsed="false">
      <c r="A3" s="1" t="s">
        <v>416</v>
      </c>
      <c r="B3" s="1" t="n">
        <v>2580</v>
      </c>
    </row>
    <row r="4" customFormat="false" ht="15" hidden="false" customHeight="true" outlineLevel="0" collapsed="false">
      <c r="A4" s="1" t="s">
        <v>390</v>
      </c>
      <c r="B4" s="1" t="n">
        <v>3090</v>
      </c>
    </row>
    <row r="5" customFormat="false" ht="15" hidden="false" customHeight="true" outlineLevel="0" collapsed="false">
      <c r="A5" s="1" t="s">
        <v>391</v>
      </c>
      <c r="B5" s="1" t="n">
        <v>3610</v>
      </c>
    </row>
    <row r="6" customFormat="false" ht="15" hidden="false" customHeight="true" outlineLevel="0" collapsed="false">
      <c r="A6" s="1" t="s">
        <v>392</v>
      </c>
      <c r="B6" s="1" t="n">
        <v>4130</v>
      </c>
    </row>
    <row r="7" customFormat="false" ht="15" hidden="false" customHeight="true" outlineLevel="0" collapsed="false">
      <c r="A7" s="1" t="s">
        <v>393</v>
      </c>
      <c r="B7" s="1" t="n">
        <v>4640</v>
      </c>
    </row>
    <row r="9" customFormat="false" ht="15" hidden="false" customHeight="true" outlineLevel="0" collapsed="false">
      <c r="A9" s="70" t="s">
        <v>417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1" width="11.43"/>
  </cols>
  <sheetData>
    <row r="2" customFormat="false" ht="15" hidden="false" customHeight="true" outlineLevel="0" collapsed="false">
      <c r="A2" s="79" t="s">
        <v>418</v>
      </c>
      <c r="B2" s="70"/>
      <c r="C2" s="70"/>
      <c r="D2" s="70"/>
      <c r="E2" s="70"/>
      <c r="F2" s="70"/>
      <c r="G2" s="70"/>
    </row>
    <row r="3" customFormat="false" ht="15" hidden="false" customHeight="true" outlineLevel="0" collapsed="false">
      <c r="A3" s="70"/>
      <c r="B3" s="70"/>
      <c r="C3" s="70"/>
      <c r="D3" s="70"/>
      <c r="E3" s="70"/>
      <c r="F3" s="70"/>
      <c r="G3" s="70"/>
    </row>
    <row r="4" customFormat="false" ht="15" hidden="false" customHeight="true" outlineLevel="0" collapsed="false">
      <c r="A4" s="69" t="s">
        <v>2</v>
      </c>
      <c r="B4" s="69" t="s">
        <v>419</v>
      </c>
      <c r="D4" s="69" t="s">
        <v>420</v>
      </c>
      <c r="E4" s="69" t="s">
        <v>421</v>
      </c>
      <c r="F4" s="69" t="s">
        <v>422</v>
      </c>
      <c r="G4" s="69" t="s">
        <v>423</v>
      </c>
      <c r="I4" s="80" t="s">
        <v>424</v>
      </c>
      <c r="J4" s="81" t="s">
        <v>425</v>
      </c>
      <c r="K4" s="82" t="s">
        <v>426</v>
      </c>
      <c r="L4" s="80" t="s">
        <v>427</v>
      </c>
      <c r="M4" s="81" t="s">
        <v>428</v>
      </c>
      <c r="N4" s="82" t="s">
        <v>429</v>
      </c>
      <c r="O4" s="80" t="s">
        <v>430</v>
      </c>
      <c r="P4" s="81" t="s">
        <v>431</v>
      </c>
      <c r="Q4" s="82" t="s">
        <v>432</v>
      </c>
      <c r="R4" s="80" t="s">
        <v>433</v>
      </c>
      <c r="S4" s="81" t="s">
        <v>434</v>
      </c>
      <c r="T4" s="82" t="s">
        <v>435</v>
      </c>
    </row>
    <row r="5" customFormat="false" ht="15" hidden="false" customHeight="true" outlineLevel="0" collapsed="false">
      <c r="A5" s="70"/>
      <c r="B5" s="69" t="s">
        <v>436</v>
      </c>
      <c r="D5" s="70"/>
      <c r="E5" s="70"/>
      <c r="F5" s="70"/>
      <c r="G5" s="70"/>
      <c r="I5" s="83"/>
      <c r="J5" s="84"/>
      <c r="K5" s="85"/>
      <c r="L5" s="83"/>
      <c r="M5" s="84"/>
      <c r="N5" s="85"/>
      <c r="O5" s="83"/>
      <c r="P5" s="84"/>
      <c r="Q5" s="85"/>
      <c r="R5" s="86"/>
      <c r="S5" s="87"/>
      <c r="T5" s="88"/>
    </row>
    <row r="6" customFormat="false" ht="15" hidden="false" customHeight="true" outlineLevel="0" collapsed="false">
      <c r="A6" s="73"/>
      <c r="B6" s="70"/>
      <c r="D6" s="70"/>
      <c r="E6" s="70"/>
      <c r="F6" s="70"/>
      <c r="G6" s="89"/>
      <c r="I6" s="83"/>
      <c r="J6" s="84"/>
      <c r="K6" s="85"/>
      <c r="L6" s="83"/>
      <c r="M6" s="84"/>
      <c r="N6" s="85"/>
      <c r="O6" s="83"/>
      <c r="P6" s="84"/>
      <c r="Q6" s="85"/>
      <c r="R6" s="86"/>
      <c r="S6" s="90"/>
      <c r="T6" s="88"/>
    </row>
    <row r="7" customFormat="false" ht="15" hidden="false" customHeight="true" outlineLevel="0" collapsed="false">
      <c r="A7" s="73"/>
      <c r="B7" s="70"/>
      <c r="D7" s="70"/>
      <c r="E7" s="70"/>
      <c r="F7" s="70"/>
      <c r="G7" s="89"/>
      <c r="I7" s="83"/>
      <c r="J7" s="84"/>
      <c r="K7" s="85"/>
      <c r="L7" s="83"/>
      <c r="M7" s="84"/>
      <c r="N7" s="85"/>
      <c r="O7" s="83"/>
      <c r="P7" s="84"/>
      <c r="Q7" s="85"/>
      <c r="R7" s="86"/>
      <c r="S7" s="90"/>
      <c r="T7" s="88"/>
    </row>
    <row r="8" customFormat="false" ht="15" hidden="false" customHeight="true" outlineLevel="0" collapsed="false">
      <c r="A8" s="73" t="s">
        <v>437</v>
      </c>
      <c r="B8" s="70" t="n">
        <v>32693</v>
      </c>
      <c r="D8" s="70" t="s">
        <v>438</v>
      </c>
      <c r="E8" s="70"/>
      <c r="F8" s="70" t="s">
        <v>439</v>
      </c>
      <c r="G8" s="91" t="s">
        <v>440</v>
      </c>
      <c r="I8" s="83" t="s">
        <v>441</v>
      </c>
      <c r="J8" s="84"/>
      <c r="K8" s="85"/>
      <c r="L8" s="83" t="s">
        <v>441</v>
      </c>
      <c r="M8" s="84"/>
      <c r="N8" s="85"/>
      <c r="O8" s="83" t="s">
        <v>441</v>
      </c>
      <c r="P8" s="84"/>
      <c r="Q8" s="85"/>
      <c r="R8" s="86" t="s">
        <v>441</v>
      </c>
      <c r="S8" s="90"/>
      <c r="T8" s="88"/>
    </row>
    <row r="9" customFormat="false" ht="15" hidden="false" customHeight="true" outlineLevel="0" collapsed="false">
      <c r="A9" s="73"/>
      <c r="B9" s="70"/>
      <c r="D9" s="70"/>
      <c r="E9" s="70"/>
      <c r="F9" s="70"/>
      <c r="G9" s="89"/>
      <c r="I9" s="83"/>
      <c r="J9" s="84"/>
      <c r="K9" s="85"/>
      <c r="L9" s="83"/>
      <c r="M9" s="84"/>
      <c r="N9" s="85"/>
      <c r="O9" s="83"/>
      <c r="P9" s="84"/>
      <c r="Q9" s="85"/>
      <c r="R9" s="86"/>
      <c r="S9" s="90"/>
      <c r="T9" s="88"/>
    </row>
    <row r="10" customFormat="false" ht="15" hidden="false" customHeight="true" outlineLevel="0" collapsed="false">
      <c r="A10" s="73" t="s">
        <v>442</v>
      </c>
      <c r="B10" s="70" t="n">
        <v>32710</v>
      </c>
      <c r="D10" s="70" t="s">
        <v>438</v>
      </c>
      <c r="E10" s="70"/>
      <c r="F10" s="70" t="s">
        <v>443</v>
      </c>
      <c r="G10" s="91" t="s">
        <v>440</v>
      </c>
      <c r="I10" s="83"/>
      <c r="J10" s="84"/>
      <c r="K10" s="85" t="s">
        <v>441</v>
      </c>
      <c r="L10" s="83"/>
      <c r="M10" s="84"/>
      <c r="N10" s="85" t="s">
        <v>441</v>
      </c>
      <c r="O10" s="83"/>
      <c r="P10" s="84"/>
      <c r="Q10" s="85" t="s">
        <v>441</v>
      </c>
      <c r="R10" s="86"/>
      <c r="S10" s="90"/>
      <c r="T10" s="88" t="s">
        <v>441</v>
      </c>
    </row>
    <row r="11" customFormat="false" ht="15" hidden="false" customHeight="true" outlineLevel="0" collapsed="false">
      <c r="A11" s="70"/>
      <c r="B11" s="70"/>
      <c r="C11" s="70"/>
      <c r="D11" s="70"/>
      <c r="E11" s="92"/>
      <c r="F11" s="70"/>
      <c r="G11" s="89"/>
      <c r="I11" s="83"/>
      <c r="J11" s="84"/>
      <c r="K11" s="85"/>
      <c r="L11" s="83"/>
      <c r="M11" s="84"/>
      <c r="N11" s="85"/>
      <c r="O11" s="83"/>
      <c r="P11" s="84"/>
      <c r="Q11" s="85"/>
      <c r="R11" s="86"/>
      <c r="S11" s="87"/>
      <c r="T11" s="88"/>
    </row>
    <row r="12" customFormat="false" ht="15" hidden="false" customHeight="true" outlineLevel="0" collapsed="false">
      <c r="A12" s="93" t="s">
        <v>444</v>
      </c>
      <c r="B12" s="70" t="n">
        <v>30308</v>
      </c>
      <c r="C12" s="70" t="s">
        <v>421</v>
      </c>
      <c r="D12" s="70" t="s">
        <v>438</v>
      </c>
      <c r="E12" s="70" t="s">
        <v>421</v>
      </c>
      <c r="F12" s="70" t="s">
        <v>445</v>
      </c>
      <c r="G12" s="89" t="s">
        <v>446</v>
      </c>
      <c r="I12" s="83"/>
      <c r="J12" s="84" t="s">
        <v>441</v>
      </c>
      <c r="K12" s="85"/>
      <c r="L12" s="83"/>
      <c r="M12" s="84" t="s">
        <v>441</v>
      </c>
      <c r="N12" s="85"/>
      <c r="O12" s="83"/>
      <c r="P12" s="84" t="s">
        <v>441</v>
      </c>
      <c r="Q12" s="85"/>
      <c r="R12" s="86"/>
      <c r="S12" s="90" t="s">
        <v>441</v>
      </c>
      <c r="T12" s="88"/>
    </row>
    <row r="13" customFormat="false" ht="15" hidden="false" customHeight="true" outlineLevel="0" collapsed="false">
      <c r="A13" s="72" t="s">
        <v>421</v>
      </c>
      <c r="B13" s="70"/>
      <c r="C13" s="70"/>
      <c r="D13" s="94"/>
      <c r="E13" s="70"/>
      <c r="F13" s="70"/>
      <c r="G13" s="89"/>
      <c r="I13" s="83"/>
      <c r="J13" s="84"/>
      <c r="K13" s="85"/>
      <c r="L13" s="83"/>
      <c r="M13" s="84"/>
      <c r="N13" s="85"/>
      <c r="O13" s="83"/>
      <c r="P13" s="84"/>
      <c r="Q13" s="85"/>
      <c r="R13" s="86"/>
      <c r="S13" s="87"/>
      <c r="T13" s="88"/>
    </row>
    <row r="14" customFormat="false" ht="15" hidden="false" customHeight="true" outlineLevel="0" collapsed="false">
      <c r="A14" s="73" t="s">
        <v>206</v>
      </c>
      <c r="B14" s="70"/>
      <c r="C14" s="70"/>
      <c r="D14" s="70" t="s">
        <v>438</v>
      </c>
      <c r="E14" s="70"/>
      <c r="F14" s="70" t="s">
        <v>447</v>
      </c>
      <c r="G14" s="89" t="s">
        <v>448</v>
      </c>
      <c r="I14" s="83"/>
      <c r="J14" s="84" t="s">
        <v>421</v>
      </c>
      <c r="K14" s="85" t="s">
        <v>441</v>
      </c>
      <c r="L14" s="83"/>
      <c r="M14" s="84"/>
      <c r="N14" s="85" t="s">
        <v>441</v>
      </c>
      <c r="O14" s="83"/>
      <c r="P14" s="84"/>
      <c r="Q14" s="85" t="s">
        <v>441</v>
      </c>
      <c r="R14" s="86"/>
      <c r="S14" s="87"/>
      <c r="T14" s="88" t="s">
        <v>441</v>
      </c>
    </row>
    <row r="15" customFormat="false" ht="15" hidden="false" customHeight="true" outlineLevel="0" collapsed="false">
      <c r="I15" s="83"/>
      <c r="J15" s="84" t="s">
        <v>421</v>
      </c>
      <c r="K15" s="85"/>
      <c r="L15" s="83"/>
      <c r="M15" s="84"/>
      <c r="N15" s="85"/>
      <c r="O15" s="83"/>
      <c r="P15" s="84"/>
      <c r="Q15" s="85"/>
      <c r="R15" s="86"/>
      <c r="S15" s="87"/>
      <c r="T15" s="88"/>
    </row>
    <row r="16" customFormat="false" ht="15" hidden="false" customHeight="true" outlineLevel="0" collapsed="false">
      <c r="A16" s="73" t="s">
        <v>449</v>
      </c>
      <c r="D16" s="70" t="s">
        <v>450</v>
      </c>
      <c r="F16" s="70" t="s">
        <v>451</v>
      </c>
      <c r="G16" s="70" t="s">
        <v>432</v>
      </c>
      <c r="I16" s="83"/>
      <c r="J16" s="84"/>
      <c r="K16" s="85"/>
      <c r="L16" s="83"/>
      <c r="M16" s="84"/>
      <c r="N16" s="85"/>
      <c r="O16" s="83"/>
      <c r="P16" s="84" t="s">
        <v>421</v>
      </c>
      <c r="Q16" s="85" t="s">
        <v>441</v>
      </c>
      <c r="R16" s="86"/>
      <c r="S16" s="90"/>
      <c r="T16" s="88"/>
    </row>
    <row r="17" customFormat="false" ht="15" hidden="false" customHeight="true" outlineLevel="0" collapsed="false">
      <c r="F17" s="70" t="s">
        <v>421</v>
      </c>
      <c r="I17" s="83"/>
      <c r="J17" s="84" t="s">
        <v>421</v>
      </c>
      <c r="K17" s="85"/>
      <c r="L17" s="83"/>
      <c r="M17" s="84"/>
      <c r="N17" s="85"/>
      <c r="O17" s="83"/>
      <c r="P17" s="84"/>
      <c r="Q17" s="85"/>
      <c r="R17" s="86"/>
      <c r="S17" s="87"/>
      <c r="T17" s="88"/>
    </row>
    <row r="18" customFormat="false" ht="15" hidden="false" customHeight="true" outlineLevel="0" collapsed="false">
      <c r="A18" s="73" t="s">
        <v>452</v>
      </c>
      <c r="B18" s="1" t="n">
        <v>33010</v>
      </c>
      <c r="D18" s="1" t="s">
        <v>438</v>
      </c>
      <c r="F18" s="70" t="s">
        <v>453</v>
      </c>
      <c r="G18" s="1" t="s">
        <v>448</v>
      </c>
      <c r="I18" s="83" t="s">
        <v>441</v>
      </c>
      <c r="J18" s="84" t="s">
        <v>421</v>
      </c>
      <c r="K18" s="85"/>
      <c r="L18" s="83" t="s">
        <v>441</v>
      </c>
      <c r="M18" s="84"/>
      <c r="N18" s="85"/>
      <c r="O18" s="83" t="s">
        <v>441</v>
      </c>
      <c r="P18" s="84"/>
      <c r="Q18" s="85"/>
      <c r="R18" s="86" t="s">
        <v>441</v>
      </c>
      <c r="S18" s="87"/>
      <c r="T18" s="88"/>
    </row>
    <row r="19" customFormat="false" ht="15" hidden="false" customHeight="true" outlineLevel="0" collapsed="false">
      <c r="I19" s="83"/>
      <c r="J19" s="84" t="s">
        <v>421</v>
      </c>
      <c r="K19" s="85"/>
      <c r="L19" s="83"/>
      <c r="M19" s="84"/>
      <c r="N19" s="85"/>
      <c r="O19" s="83"/>
      <c r="P19" s="84"/>
      <c r="Q19" s="85"/>
      <c r="R19" s="86"/>
      <c r="S19" s="87"/>
      <c r="T19" s="88"/>
    </row>
    <row r="20" customFormat="false" ht="15" hidden="false" customHeight="true" outlineLevel="0" collapsed="false">
      <c r="I20" s="83"/>
      <c r="J20" s="84" t="s">
        <v>421</v>
      </c>
      <c r="K20" s="85"/>
      <c r="L20" s="83"/>
      <c r="M20" s="84"/>
      <c r="N20" s="85"/>
      <c r="O20" s="83"/>
      <c r="P20" s="84"/>
      <c r="Q20" s="85"/>
      <c r="R20" s="86"/>
      <c r="S20" s="87"/>
      <c r="T20" s="8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sheetData>
    <row r="1" customFormat="false" ht="14.25" hidden="false" customHeight="true" outlineLevel="0" collapsed="false">
      <c r="A1" s="1" t="s">
        <v>454</v>
      </c>
      <c r="B1" s="1" t="s">
        <v>455</v>
      </c>
      <c r="D1" s="1" t="s">
        <v>456</v>
      </c>
      <c r="E1" s="1" t="s">
        <v>457</v>
      </c>
      <c r="G1" s="1" t="s">
        <v>458</v>
      </c>
      <c r="H1" s="1" t="s">
        <v>459</v>
      </c>
      <c r="J1" s="1" t="s">
        <v>460</v>
      </c>
      <c r="K1" s="1" t="s">
        <v>461</v>
      </c>
      <c r="M1" s="1" t="s">
        <v>462</v>
      </c>
      <c r="N1" s="1" t="s">
        <v>463</v>
      </c>
      <c r="P1" s="1" t="s">
        <v>464</v>
      </c>
      <c r="Q1" s="1" t="s">
        <v>465</v>
      </c>
    </row>
    <row r="2" customFormat="false" ht="14.25" hidden="false" customHeight="true" outlineLevel="0" collapsed="false">
      <c r="A2" s="1" t="n">
        <v>0</v>
      </c>
      <c r="B2" s="1" t="n">
        <v>2960</v>
      </c>
      <c r="D2" s="1" t="n">
        <v>0</v>
      </c>
      <c r="E2" s="1" t="n">
        <v>1500</v>
      </c>
      <c r="G2" s="1" t="n">
        <v>0</v>
      </c>
      <c r="H2" s="1" t="n">
        <v>2885</v>
      </c>
      <c r="J2" s="1" t="n">
        <v>0</v>
      </c>
      <c r="K2" s="1" t="n">
        <v>1330</v>
      </c>
      <c r="M2" s="1" t="n">
        <v>0</v>
      </c>
      <c r="N2" s="1" t="n">
        <v>2580</v>
      </c>
      <c r="P2" s="1" t="n">
        <v>0</v>
      </c>
      <c r="Q2" s="1" t="n">
        <v>7410</v>
      </c>
    </row>
    <row r="3" customFormat="false" ht="14.25" hidden="false" customHeight="true" outlineLevel="0" collapsed="false">
      <c r="A3" s="1" t="n">
        <v>100</v>
      </c>
      <c r="B3" s="1" t="n">
        <v>3580</v>
      </c>
      <c r="D3" s="1" t="n">
        <v>70</v>
      </c>
      <c r="E3" s="1" t="n">
        <v>2280</v>
      </c>
      <c r="G3" s="1" t="n">
        <v>100</v>
      </c>
      <c r="H3" s="1" t="n">
        <v>3303</v>
      </c>
      <c r="J3" s="1" t="n">
        <v>31</v>
      </c>
      <c r="K3" s="1" t="n">
        <v>1540</v>
      </c>
      <c r="M3" s="1" t="n">
        <v>100</v>
      </c>
      <c r="N3" s="1" t="n">
        <v>3100</v>
      </c>
      <c r="P3" s="1" t="n">
        <v>100</v>
      </c>
      <c r="Q3" s="1" t="n">
        <v>10550</v>
      </c>
    </row>
    <row r="4" customFormat="false" ht="14.25" hidden="false" customHeight="true" outlineLevel="0" collapsed="false">
      <c r="A4" s="1" t="n">
        <v>150</v>
      </c>
      <c r="B4" s="1" t="n">
        <v>4090</v>
      </c>
      <c r="D4" s="1" t="n">
        <v>90</v>
      </c>
      <c r="E4" s="1" t="n">
        <v>2870</v>
      </c>
      <c r="G4" s="1" t="n">
        <v>150</v>
      </c>
      <c r="H4" s="1" t="n">
        <v>3756</v>
      </c>
      <c r="J4" s="1" t="n">
        <v>41</v>
      </c>
      <c r="K4" s="1" t="n">
        <v>1780</v>
      </c>
      <c r="M4" s="1" t="n">
        <v>150</v>
      </c>
      <c r="N4" s="1" t="n">
        <v>3600</v>
      </c>
      <c r="P4" s="1" t="n">
        <v>150</v>
      </c>
      <c r="Q4" s="1" t="n">
        <v>13830</v>
      </c>
    </row>
    <row r="5" customFormat="false" ht="14.25" hidden="false" customHeight="true" outlineLevel="0" collapsed="false">
      <c r="A5" s="1" t="n">
        <v>200</v>
      </c>
      <c r="B5" s="1" t="n">
        <v>4670</v>
      </c>
      <c r="D5" s="1" t="n">
        <v>110</v>
      </c>
      <c r="E5" s="1" t="n">
        <v>3260</v>
      </c>
      <c r="G5" s="1" t="n">
        <v>200</v>
      </c>
      <c r="H5" s="1" t="n">
        <v>4314</v>
      </c>
      <c r="J5" s="1" t="n">
        <v>51</v>
      </c>
      <c r="K5" s="1" t="n">
        <v>1980</v>
      </c>
      <c r="M5" s="1" t="n">
        <v>200</v>
      </c>
      <c r="N5" s="1" t="n">
        <v>4150</v>
      </c>
      <c r="P5" s="1" t="n">
        <v>200</v>
      </c>
      <c r="Q5" s="1" t="n">
        <v>17510</v>
      </c>
    </row>
    <row r="6" customFormat="false" ht="14.25" hidden="false" customHeight="true" outlineLevel="0" collapsed="false">
      <c r="A6" s="1" t="n">
        <v>250</v>
      </c>
      <c r="B6" s="1" t="n">
        <v>5760</v>
      </c>
      <c r="D6" s="1" t="n">
        <v>130</v>
      </c>
      <c r="E6" s="1" t="n">
        <v>3450</v>
      </c>
      <c r="G6" s="1" t="n">
        <v>250</v>
      </c>
      <c r="H6" s="1" t="n">
        <v>5315</v>
      </c>
      <c r="J6" s="1" t="n">
        <v>61</v>
      </c>
      <c r="K6" s="1" t="n">
        <v>2200</v>
      </c>
      <c r="M6" s="1" t="n">
        <v>250</v>
      </c>
      <c r="N6" s="1" t="n">
        <v>4640</v>
      </c>
    </row>
    <row r="7" customFormat="false" ht="14.25" hidden="false" customHeight="true" outlineLevel="0" collapsed="false">
      <c r="A7" s="1" t="n">
        <v>300</v>
      </c>
      <c r="B7" s="1" t="n">
        <v>6830</v>
      </c>
      <c r="D7" s="1" t="n">
        <v>150</v>
      </c>
      <c r="E7" s="1" t="n">
        <v>3810</v>
      </c>
      <c r="G7" s="1" t="n">
        <v>300</v>
      </c>
      <c r="H7" s="1" t="n">
        <v>6275</v>
      </c>
      <c r="J7" s="1" t="n">
        <v>71</v>
      </c>
      <c r="K7" s="1" t="n">
        <v>2495</v>
      </c>
    </row>
    <row r="8" customFormat="false" ht="14.25" hidden="false" customHeight="true" outlineLevel="0" collapsed="false">
      <c r="A8" s="1" t="n">
        <v>350</v>
      </c>
      <c r="B8" s="1" t="n">
        <v>7920</v>
      </c>
      <c r="D8" s="1" t="n">
        <v>170</v>
      </c>
      <c r="E8" s="1" t="n">
        <v>4020</v>
      </c>
      <c r="G8" s="1" t="n">
        <v>350</v>
      </c>
      <c r="H8" s="1" t="n">
        <v>7306</v>
      </c>
      <c r="J8" s="1" t="n">
        <v>81</v>
      </c>
      <c r="K8" s="1" t="n">
        <v>2850</v>
      </c>
    </row>
    <row r="9" customFormat="false" ht="14.25" hidden="false" customHeight="true" outlineLevel="0" collapsed="false">
      <c r="A9" s="1" t="n">
        <v>400</v>
      </c>
      <c r="B9" s="1" t="n">
        <v>8980</v>
      </c>
      <c r="D9" s="1" t="n">
        <v>190</v>
      </c>
      <c r="E9" s="1" t="n">
        <v>4260</v>
      </c>
      <c r="G9" s="1" t="n">
        <v>400</v>
      </c>
      <c r="H9" s="1" t="n">
        <v>8308</v>
      </c>
    </row>
    <row r="10" customFormat="false" ht="14.25" hidden="false" customHeight="true" outlineLevel="0" collapsed="false">
      <c r="A10" s="1" t="n">
        <v>450</v>
      </c>
      <c r="B10" s="1" t="n">
        <v>10080</v>
      </c>
      <c r="D10" s="1" t="n">
        <v>210</v>
      </c>
      <c r="E10" s="1" t="n">
        <v>4490</v>
      </c>
      <c r="G10" s="1" t="n">
        <v>450</v>
      </c>
      <c r="H10" s="1" t="n">
        <v>9278</v>
      </c>
    </row>
    <row r="11" customFormat="false" ht="14.25" hidden="false" customHeight="true" outlineLevel="0" collapsed="false">
      <c r="A11" s="1" t="n">
        <v>500</v>
      </c>
      <c r="B11" s="1" t="n">
        <v>11150</v>
      </c>
      <c r="D11" s="1" t="n">
        <v>230</v>
      </c>
      <c r="E11" s="1" t="n">
        <v>4860</v>
      </c>
      <c r="G11" s="1" t="n">
        <v>500</v>
      </c>
      <c r="H11" s="1" t="n">
        <v>10392</v>
      </c>
    </row>
    <row r="12" customFormat="false" ht="14.25" hidden="false" customHeight="true" outlineLevel="0" collapsed="false">
      <c r="A12" s="1" t="n">
        <v>550</v>
      </c>
      <c r="B12" s="1" t="n">
        <v>12200</v>
      </c>
      <c r="D12" s="1" t="n">
        <v>250</v>
      </c>
      <c r="E12" s="1" t="n">
        <v>5280</v>
      </c>
      <c r="G12" s="1" t="n">
        <v>550</v>
      </c>
      <c r="H12" s="1" t="n">
        <v>11228</v>
      </c>
    </row>
    <row r="13" customFormat="false" ht="14.25" hidden="false" customHeight="true" outlineLevel="0" collapsed="false">
      <c r="A13" s="1" t="n">
        <v>600</v>
      </c>
      <c r="B13" s="1" t="n">
        <v>13260</v>
      </c>
      <c r="D13" s="1" t="n">
        <v>270</v>
      </c>
      <c r="E13" s="1" t="n">
        <v>5690</v>
      </c>
    </row>
    <row r="14" customFormat="false" ht="14.25" hidden="false" customHeight="true" outlineLevel="0" collapsed="false">
      <c r="A14" s="1" t="n">
        <v>650</v>
      </c>
      <c r="B14" s="1" t="n">
        <v>14360</v>
      </c>
      <c r="D14" s="1" t="n">
        <v>290</v>
      </c>
      <c r="E14" s="1" t="n">
        <v>6100</v>
      </c>
    </row>
    <row r="15" customFormat="false" ht="14.25" hidden="false" customHeight="true" outlineLevel="0" collapsed="false">
      <c r="A15" s="1" t="n">
        <v>700</v>
      </c>
      <c r="B15" s="1" t="n">
        <v>15430</v>
      </c>
      <c r="D15" s="1" t="n">
        <v>310</v>
      </c>
      <c r="E15" s="1" t="n">
        <v>6520</v>
      </c>
    </row>
    <row r="16" customFormat="false" ht="14.25" hidden="false" customHeight="true" outlineLevel="0" collapsed="false">
      <c r="A16" s="1" t="n">
        <v>750</v>
      </c>
      <c r="B16" s="1" t="n">
        <v>16530</v>
      </c>
      <c r="D16" s="1" t="n">
        <v>330</v>
      </c>
      <c r="E16" s="1" t="n">
        <v>6940</v>
      </c>
    </row>
    <row r="17" customFormat="false" ht="14.25" hidden="false" customHeight="true" outlineLevel="0" collapsed="false">
      <c r="A17" s="1" t="n">
        <v>800</v>
      </c>
      <c r="B17" s="1" t="n">
        <v>17590</v>
      </c>
      <c r="D17" s="1" t="n">
        <v>350</v>
      </c>
      <c r="E17" s="1" t="n">
        <v>7370</v>
      </c>
    </row>
    <row r="18" customFormat="false" ht="14.25" hidden="false" customHeight="true" outlineLevel="0" collapsed="false">
      <c r="A18" s="1" t="n">
        <v>850</v>
      </c>
      <c r="B18" s="1" t="n">
        <v>18680</v>
      </c>
      <c r="D18" s="1" t="n">
        <v>370</v>
      </c>
      <c r="E18" s="1" t="n">
        <v>7790</v>
      </c>
    </row>
    <row r="19" customFormat="false" ht="14.25" hidden="false" customHeight="true" outlineLevel="0" collapsed="false">
      <c r="A19" s="1" t="n">
        <v>900</v>
      </c>
      <c r="B19" s="1" t="n">
        <v>19750</v>
      </c>
      <c r="D19" s="1" t="n">
        <v>390</v>
      </c>
      <c r="E19" s="1" t="n">
        <v>8200</v>
      </c>
    </row>
    <row r="20" customFormat="false" ht="14.25" hidden="false" customHeight="true" outlineLevel="0" collapsed="false">
      <c r="A20" s="1" t="n">
        <v>950</v>
      </c>
      <c r="B20" s="1" t="n">
        <v>20820</v>
      </c>
      <c r="D20" s="1" t="n">
        <v>410</v>
      </c>
      <c r="E20" s="1" t="n">
        <v>8610</v>
      </c>
    </row>
    <row r="21" customFormat="false" ht="14.25" hidden="false" customHeight="true" outlineLevel="0" collapsed="false">
      <c r="A21" s="1" t="n">
        <v>1000</v>
      </c>
      <c r="B21" s="1" t="n">
        <v>23000</v>
      </c>
      <c r="D21" s="1" t="n">
        <v>430</v>
      </c>
      <c r="E21" s="1" t="n">
        <v>9020</v>
      </c>
    </row>
    <row r="22" customFormat="false" ht="14.25" hidden="false" customHeight="true" outlineLevel="0" collapsed="false">
      <c r="A22" s="1" t="n">
        <v>1100</v>
      </c>
      <c r="B22" s="1" t="n">
        <v>24100</v>
      </c>
      <c r="D22" s="1" t="n">
        <v>450</v>
      </c>
      <c r="E22" s="1" t="n">
        <v>9440</v>
      </c>
    </row>
    <row r="23" customFormat="false" ht="14.25" hidden="false" customHeight="true" outlineLevel="0" collapsed="false">
      <c r="A23" s="1" t="n">
        <v>1200</v>
      </c>
      <c r="B23" s="1" t="n">
        <v>26260</v>
      </c>
      <c r="D23" s="1" t="n">
        <v>470</v>
      </c>
      <c r="E23" s="1" t="n">
        <v>9860</v>
      </c>
    </row>
    <row r="24" customFormat="false" ht="14.25" hidden="false" customHeight="true" outlineLevel="0" collapsed="false">
      <c r="A24" s="1" t="n">
        <v>1300</v>
      </c>
      <c r="B24" s="1" t="n">
        <v>28400</v>
      </c>
    </row>
    <row r="25" customFormat="false" ht="14.25" hidden="false" customHeight="true" outlineLevel="0" collapsed="false">
      <c r="A25" s="1" t="n">
        <v>1400</v>
      </c>
      <c r="B25" s="1" t="n">
        <v>30240</v>
      </c>
    </row>
    <row r="26" customFormat="false" ht="14.25" hidden="false" customHeight="true" outlineLevel="0" collapsed="false">
      <c r="A26" s="1" t="n">
        <v>1500</v>
      </c>
      <c r="B26" s="1" t="n">
        <v>32710</v>
      </c>
    </row>
    <row r="27" customFormat="false" ht="14.25" hidden="false" customHeight="true" outlineLevel="0" collapsed="false">
      <c r="A27" s="1" t="n">
        <v>1600</v>
      </c>
      <c r="B27" s="1" t="n">
        <v>34890</v>
      </c>
    </row>
    <row r="28" customFormat="false" ht="14.25" hidden="false" customHeight="true" outlineLevel="0" collapsed="false">
      <c r="A28" s="1" t="n">
        <v>1700</v>
      </c>
      <c r="B28" s="1" t="n">
        <v>37060</v>
      </c>
    </row>
    <row r="29" customFormat="false" ht="14.25" hidden="false" customHeight="true" outlineLevel="0" collapsed="false">
      <c r="A29" s="1" t="n">
        <v>1800</v>
      </c>
      <c r="B29" s="1" t="n">
        <v>39200</v>
      </c>
    </row>
    <row r="30" customFormat="false" ht="14.25" hidden="false" customHeight="true" outlineLevel="0" collapsed="false">
      <c r="A30" s="1" t="n">
        <v>1900</v>
      </c>
      <c r="B30" s="1" t="n">
        <v>41380</v>
      </c>
    </row>
    <row r="31" customFormat="false" ht="14.25" hidden="false" customHeight="true" outlineLevel="0" collapsed="false">
      <c r="A31" s="1" t="n">
        <v>2000</v>
      </c>
      <c r="B31" s="1" t="n">
        <v>43500</v>
      </c>
    </row>
    <row r="32" customFormat="false" ht="14.25" hidden="false" customHeight="true" outlineLevel="0" collapsed="false">
      <c r="A32" s="1" t="n">
        <v>2100</v>
      </c>
      <c r="B32" s="1" t="n">
        <v>45650</v>
      </c>
    </row>
    <row r="33" customFormat="false" ht="14.25" hidden="false" customHeight="true" outlineLevel="0" collapsed="false">
      <c r="A33" s="1" t="n">
        <v>2200</v>
      </c>
      <c r="B33" s="1" t="n">
        <v>47850</v>
      </c>
    </row>
    <row r="34" customFormat="false" ht="14.25" hidden="false" customHeight="true" outlineLevel="0" collapsed="false">
      <c r="A34" s="1" t="n">
        <v>2300</v>
      </c>
      <c r="B34" s="1" t="n">
        <v>49980</v>
      </c>
    </row>
    <row r="35" customFormat="false" ht="14.25" hidden="false" customHeight="true" outlineLevel="0" collapsed="false">
      <c r="A35" s="1" t="n">
        <v>2400</v>
      </c>
      <c r="B35" s="1" t="n">
        <v>52160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2026-07-02T14:32:01Z</dcterms:created>
  <dc:creator>openpyxl</dc:creator>
  <dc:description/>
  <dc:language>en-US</dc:language>
  <cp:lastModifiedBy>Geir Bodin</cp:lastModifiedBy>
  <dcterms:modified xsi:type="dcterms:W3CDTF">2026-09-17T13:43:06Z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0x010100E7E4665F0A1FE740A8B78A90E5340A22</vt:lpwstr>
  </property>
  <property fmtid="{D5CDD505-2E9C-101B-9397-08002B2CF9AE}" pid="3" name="MediaServiceImageTags">
    <vt:lpwstr/>
  </property>
</Properties>
</file>